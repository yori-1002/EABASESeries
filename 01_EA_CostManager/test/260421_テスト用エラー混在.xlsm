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日報入力" sheetId="1" state="visible" r:id="rId1"/>
    <sheet xmlns:r="http://schemas.openxmlformats.org/officeDocument/2006/relationships" name="data base" sheetId="2" state="visible" r:id="rId2"/>
    <sheet xmlns:r="http://schemas.openxmlformats.org/officeDocument/2006/relationships" name="出面表 " sheetId="3" state="visible" r:id="rId3"/>
    <sheet xmlns:r="http://schemas.openxmlformats.org/officeDocument/2006/relationships" name="処理" sheetId="4" state="visible" r:id="rId4"/>
    <sheet xmlns:r="http://schemas.openxmlformats.org/officeDocument/2006/relationships" name="21" sheetId="5" state="visible" r:id="rId5"/>
    <sheet xmlns:r="http://schemas.openxmlformats.org/officeDocument/2006/relationships" name="22" sheetId="6" state="visible" r:id="rId6"/>
    <sheet xmlns:r="http://schemas.openxmlformats.org/officeDocument/2006/relationships" name="23" sheetId="7" state="visible" r:id="rId7"/>
    <sheet xmlns:r="http://schemas.openxmlformats.org/officeDocument/2006/relationships" name="24" sheetId="8" state="visible" r:id="rId8"/>
  </sheets>
  <definedNames>
    <definedName name="_xlnm._FilterDatabase" localSheetId="0" hidden="1">'日報入力'!$A$4:$S$434</definedName>
    <definedName name="_xlnm._FilterDatabase" localSheetId="4" hidden="1">'21'!$A$4:$S$434</definedName>
    <definedName name="_xlnm._FilterDatabase" localSheetId="5" hidden="1">'22'!$A$4:$S$434</definedName>
    <definedName name="_xlnm._FilterDatabase" localSheetId="6" hidden="1">'23'!$A$4:$S$434</definedName>
    <definedName name="_xlnm._FilterDatabase" localSheetId="7" hidden="1">'24'!$A$4:$S$434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m/d;@"/>
    <numFmt numFmtId="165" formatCode="##&quot;km&quot;"/>
    <numFmt numFmtId="166" formatCode="0.00_);[Red]\(0.00\)"/>
    <numFmt numFmtId="167" formatCode="dd"/>
    <numFmt numFmtId="168" formatCode="[$-F800]dddd\,\ mmmm\ dd\,\ yyyy"/>
    <numFmt numFmtId="169" formatCode="&quot;¥&quot;#,##0_);[Red]\(&quot;¥&quot;#,##0\)"/>
  </numFmts>
  <fonts count="2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3"/>
      <sz val="6"/>
      <scheme val="minor"/>
    </font>
    <font>
      <name val="游ゴシック"/>
      <family val="2"/>
      <color theme="1"/>
      <sz val="11"/>
      <scheme val="minor"/>
    </font>
    <font>
      <name val="游ゴシック"/>
      <family val="2"/>
      <b val="1"/>
      <color theme="1"/>
      <sz val="11"/>
      <scheme val="minor"/>
    </font>
    <font>
      <name val="ＭＳ Ｐ明朝"/>
      <charset val="128"/>
      <family val="1"/>
      <sz val="6"/>
    </font>
    <font>
      <name val="ＭＳ Ｐ明朝"/>
      <charset val="128"/>
      <family val="1"/>
      <color theme="1"/>
      <sz val="11"/>
    </font>
    <font>
      <name val="游ゴシック"/>
      <charset val="128"/>
      <family val="3"/>
      <b val="1"/>
      <color rgb="FF000000"/>
      <sz val="11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b val="1"/>
      <color rgb="FFFF0000"/>
      <sz val="11"/>
      <scheme val="minor"/>
    </font>
    <font>
      <name val="游ゴシック"/>
      <charset val="128"/>
      <family val="3"/>
      <b val="1"/>
      <sz val="9"/>
      <scheme val="minor"/>
    </font>
    <font>
      <name val="游ゴシック"/>
      <charset val="128"/>
      <family val="3"/>
      <b val="1"/>
      <color rgb="FFFF0000"/>
      <sz val="9"/>
      <scheme val="minor"/>
    </font>
    <font>
      <name val="游ゴシック"/>
      <charset val="128"/>
      <family val="3"/>
      <b val="1"/>
      <sz val="8"/>
      <scheme val="minor"/>
    </font>
    <font>
      <name val="游ゴシック"/>
      <charset val="128"/>
      <family val="3"/>
      <sz val="14"/>
      <scheme val="minor"/>
    </font>
    <font>
      <name val="游ゴシック"/>
      <charset val="128"/>
      <family val="3"/>
      <b val="1"/>
      <color rgb="FF0070C0"/>
      <sz val="9"/>
      <scheme val="minor"/>
    </font>
    <font>
      <name val="游ゴシック"/>
      <charset val="128"/>
      <family val="3"/>
      <sz val="11"/>
      <scheme val="minor"/>
    </font>
    <font>
      <name val="游ゴシック"/>
      <charset val="128"/>
      <family val="3"/>
      <b val="1"/>
      <sz val="11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theme="1"/>
      <sz val="10"/>
      <scheme val="minor"/>
    </font>
    <font>
      <name val="ＭＳ Ｐ明朝"/>
      <charset val="128"/>
      <family val="1"/>
      <sz val="11"/>
    </font>
    <font>
      <name val="游ゴシック"/>
      <charset val="128"/>
      <family val="3"/>
      <color theme="1"/>
      <sz val="8"/>
      <scheme val="minor"/>
    </font>
  </fonts>
  <fills count="2">
    <fill>
      <patternFill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6">
    <xf numFmtId="0" fontId="1" fillId="0" borderId="0" applyAlignment="1">
      <alignment vertical="center"/>
    </xf>
    <xf numFmtId="0" fontId="5" fillId="0" borderId="0"/>
    <xf numFmtId="169" fontId="1" fillId="0" borderId="0" applyAlignment="1">
      <alignment vertical="center"/>
    </xf>
    <xf numFmtId="169" fontId="1" fillId="0" borderId="0" applyAlignment="1">
      <alignment vertical="center"/>
    </xf>
    <xf numFmtId="169" fontId="1" fillId="0" borderId="0" applyAlignment="1">
      <alignment vertical="center"/>
    </xf>
    <xf numFmtId="0" fontId="22" fillId="0" borderId="0"/>
  </cellStyleXfs>
  <cellXfs count="89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5" fillId="0" borderId="0" pivotButton="0" quotePrefix="0" xfId="1"/>
    <xf numFmtId="0" fontId="6" fillId="0" borderId="1" applyAlignment="1" pivotButton="0" quotePrefix="0" xfId="1">
      <alignment horizontal="center" vertical="top"/>
    </xf>
    <xf numFmtId="0" fontId="0" fillId="0" borderId="0" applyAlignment="1" pivotButton="0" quotePrefix="0" xfId="0">
      <alignment horizontal="center" vertical="center"/>
    </xf>
    <xf numFmtId="0" fontId="6" fillId="0" borderId="0" applyAlignment="1" pivotButton="0" quotePrefix="0" xfId="1">
      <alignment horizontal="center" vertical="top"/>
    </xf>
    <xf numFmtId="0" fontId="5" fillId="0" borderId="1" pivotButton="0" quotePrefix="0" xfId="1"/>
    <xf numFmtId="0" fontId="0" fillId="0" borderId="1" applyAlignment="1" pivotButton="0" quotePrefix="0" xfId="0">
      <alignment horizontal="center" vertical="center"/>
    </xf>
    <xf numFmtId="0" fontId="8" fillId="0" borderId="1" applyAlignment="1" pivotButton="0" quotePrefix="0" xfId="0">
      <alignment vertical="center"/>
    </xf>
    <xf numFmtId="0" fontId="0" fillId="0" borderId="1" applyAlignment="1" pivotButton="0" quotePrefix="1" xfId="0">
      <alignment vertical="center"/>
    </xf>
    <xf numFmtId="0" fontId="0" fillId="0" borderId="1" applyAlignment="1" pivotButton="0" quotePrefix="0" xfId="0">
      <alignment horizontal="left" vertical="center"/>
    </xf>
    <xf numFmtId="164" fontId="0" fillId="0" borderId="1" applyAlignment="1" pivotButton="0" quotePrefix="0" xfId="0">
      <alignment horizontal="left" vertical="center"/>
    </xf>
    <xf numFmtId="49" fontId="0" fillId="0" borderId="1" applyAlignment="1" pivotButton="0" quotePrefix="0" xfId="0">
      <alignment horizontal="left" vertical="center"/>
    </xf>
    <xf numFmtId="0" fontId="10" fillId="0" borderId="1" pivotButton="0" quotePrefix="0" xfId="0"/>
    <xf numFmtId="0" fontId="10" fillId="0" borderId="0" pivotButton="0" quotePrefix="0" xfId="0"/>
    <xf numFmtId="165" fontId="0" fillId="0" borderId="1" applyAlignment="1" pivotButton="0" quotePrefix="0" xfId="0">
      <alignment vertical="center"/>
    </xf>
    <xf numFmtId="166" fontId="0" fillId="0" borderId="1" applyAlignment="1" pivotButton="0" quotePrefix="0" xfId="0">
      <alignment horizontal="left" vertical="center"/>
    </xf>
    <xf numFmtId="0" fontId="3" fillId="0" borderId="0" applyAlignment="1" pivotButton="0" quotePrefix="0" xfId="0">
      <alignment horizontal="right" vertical="center"/>
    </xf>
    <xf numFmtId="2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vertical="center"/>
    </xf>
    <xf numFmtId="0" fontId="12" fillId="0" borderId="2" applyAlignment="1" pivotButton="0" quotePrefix="0" xfId="0">
      <alignment horizontal="center" vertical="center"/>
    </xf>
    <xf numFmtId="0" fontId="12" fillId="0" borderId="4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4" fillId="0" borderId="8" applyAlignment="1" pivotButton="0" quotePrefix="0" xfId="0">
      <alignment horizontal="center" vertical="center"/>
    </xf>
    <xf numFmtId="0" fontId="15" fillId="0" borderId="10" applyAlignment="1" pivotButton="0" quotePrefix="0" xfId="0">
      <alignment vertical="center"/>
    </xf>
    <xf numFmtId="0" fontId="15" fillId="0" borderId="11" applyAlignment="1" pivotButton="0" quotePrefix="0" xfId="0">
      <alignment vertical="center"/>
    </xf>
    <xf numFmtId="0" fontId="14" fillId="0" borderId="12" applyAlignment="1" pivotButton="0" quotePrefix="0" xfId="0">
      <alignment horizontal="center" vertical="center"/>
    </xf>
    <xf numFmtId="0" fontId="12" fillId="0" borderId="13" applyAlignment="1" pivotButton="0" quotePrefix="0" xfId="0">
      <alignment horizontal="center" vertical="center"/>
    </xf>
    <xf numFmtId="0" fontId="12" fillId="0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4" fillId="0" borderId="2" applyAlignment="1" pivotButton="0" quotePrefix="0" xfId="0">
      <alignment horizontal="center" vertical="center"/>
    </xf>
    <xf numFmtId="49" fontId="17" fillId="0" borderId="0" applyAlignment="1" pivotButton="0" quotePrefix="0" xfId="0">
      <alignment horizontal="left" vertical="center"/>
    </xf>
    <xf numFmtId="0" fontId="17" fillId="0" borderId="0" applyAlignment="1" pivotButton="0" quotePrefix="0" xfId="0">
      <alignment vertical="center"/>
    </xf>
    <xf numFmtId="0" fontId="18" fillId="0" borderId="1" applyAlignment="1" pivotButton="0" quotePrefix="0" xfId="0">
      <alignment horizontal="center" vertical="center"/>
    </xf>
    <xf numFmtId="49" fontId="17" fillId="0" borderId="1" applyAlignment="1" pivotButton="0" quotePrefix="0" xfId="0">
      <alignment horizontal="left" vertical="center"/>
    </xf>
    <xf numFmtId="0" fontId="17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46" fontId="0" fillId="0" borderId="1" applyAlignment="1" pivotButton="0" quotePrefix="0" xfId="0">
      <alignment horizontal="left" vertical="center"/>
    </xf>
    <xf numFmtId="167" fontId="16" fillId="0" borderId="16" applyAlignment="1" pivotButton="0" quotePrefix="0" xfId="0">
      <alignment horizontal="center" vertical="center"/>
    </xf>
    <xf numFmtId="167" fontId="13" fillId="0" borderId="16" applyAlignment="1" pivotButton="0" quotePrefix="0" xfId="0">
      <alignment horizontal="center" vertical="center"/>
    </xf>
    <xf numFmtId="167" fontId="12" fillId="0" borderId="16" applyAlignment="1" pivotButton="0" quotePrefix="0" xfId="0">
      <alignment horizontal="center" vertical="center"/>
    </xf>
    <xf numFmtId="167" fontId="0" fillId="0" borderId="16" applyAlignment="1" pivotButton="0" quotePrefix="0" xfId="0">
      <alignment vertical="center"/>
    </xf>
    <xf numFmtId="167" fontId="0" fillId="0" borderId="0" applyAlignment="1" pivotButton="0" quotePrefix="0" xfId="0">
      <alignment vertical="center"/>
    </xf>
    <xf numFmtId="167" fontId="19" fillId="0" borderId="17" applyAlignment="1" pivotButton="0" quotePrefix="0" xfId="0">
      <alignment horizontal="center" vertical="center"/>
    </xf>
    <xf numFmtId="167" fontId="19" fillId="0" borderId="3" applyAlignment="1" pivotButton="0" quotePrefix="0" xfId="0">
      <alignment horizontal="center" vertical="center"/>
    </xf>
    <xf numFmtId="0" fontId="19" fillId="0" borderId="6" applyAlignment="1" pivotButton="0" quotePrefix="0" xfId="0">
      <alignment horizontal="center" vertical="center"/>
    </xf>
    <xf numFmtId="0" fontId="20" fillId="0" borderId="9" applyAlignment="1" pivotButton="0" quotePrefix="0" xfId="0">
      <alignment horizontal="center" vertical="center"/>
    </xf>
    <xf numFmtId="0" fontId="14" fillId="0" borderId="15" applyAlignment="1" pivotButton="0" quotePrefix="0" xfId="0">
      <alignment horizontal="center" vertical="center"/>
    </xf>
    <xf numFmtId="0" fontId="20" fillId="0" borderId="18" applyAlignment="1" pivotButton="0" quotePrefix="0" xfId="0">
      <alignment horizontal="center" vertical="center"/>
    </xf>
    <xf numFmtId="56" fontId="0" fillId="0" borderId="0" applyAlignment="1" pivotButton="0" quotePrefix="0" xfId="0">
      <alignment vertical="center"/>
    </xf>
    <xf numFmtId="0" fontId="14" fillId="0" borderId="12" applyAlignment="1" pivotButton="0" quotePrefix="0" xfId="0">
      <alignment horizontal="center" vertical="center" wrapText="1"/>
    </xf>
    <xf numFmtId="0" fontId="10" fillId="0" borderId="1" applyAlignment="1" pivotButton="0" quotePrefix="0" xfId="0">
      <alignment horizontal="left" vertical="center"/>
    </xf>
    <xf numFmtId="0" fontId="21" fillId="0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left" vertical="center"/>
    </xf>
    <xf numFmtId="0" fontId="15" fillId="0" borderId="19" applyAlignment="1" pivotButton="0" quotePrefix="0" xfId="0">
      <alignment vertical="center"/>
    </xf>
    <xf numFmtId="49" fontId="0" fillId="0" borderId="1" applyAlignment="1" pivotButton="0" quotePrefix="0" xfId="0">
      <alignment vertical="center"/>
    </xf>
    <xf numFmtId="49" fontId="17" fillId="0" borderId="1" applyAlignment="1" pivotButton="0" quotePrefix="0" xfId="0">
      <alignment vertical="center"/>
    </xf>
    <xf numFmtId="0" fontId="17" fillId="0" borderId="1" applyAlignment="1" pivotButton="0" quotePrefix="0" xfId="0">
      <alignment vertical="center"/>
    </xf>
    <xf numFmtId="0" fontId="0" fillId="0" borderId="16" applyAlignment="1" pivotButton="0" quotePrefix="0" xfId="0">
      <alignment vertical="center"/>
    </xf>
    <xf numFmtId="168" fontId="5" fillId="0" borderId="1" pivotButton="0" quotePrefix="0" xfId="1"/>
    <xf numFmtId="167" fontId="19" fillId="0" borderId="20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0" fontId="20" fillId="0" borderId="24" applyAlignment="1" pivotButton="0" quotePrefix="0" xfId="0">
      <alignment horizontal="center" vertical="center"/>
    </xf>
    <xf numFmtId="0" fontId="20" fillId="0" borderId="23" applyAlignment="1" pivotButton="0" quotePrefix="0" xfId="0">
      <alignment horizontal="center" vertical="center"/>
    </xf>
    <xf numFmtId="169" fontId="0" fillId="0" borderId="1" applyAlignment="1" pivotButton="0" quotePrefix="0" xfId="4">
      <alignment horizontal="left" vertical="center"/>
    </xf>
    <xf numFmtId="169" fontId="0" fillId="0" borderId="1" applyAlignment="1" pivotButton="0" quotePrefix="0" xfId="4">
      <alignment horizontal="left" vertical="center"/>
    </xf>
    <xf numFmtId="169" fontId="0" fillId="0" borderId="1" applyAlignment="1" pivotButton="0" quotePrefix="0" xfId="3">
      <alignment horizontal="left" vertical="center"/>
    </xf>
    <xf numFmtId="0" fontId="23" fillId="0" borderId="18" applyAlignment="1" pivotButton="0" quotePrefix="0" xfId="0">
      <alignment horizontal="center" vertical="center"/>
    </xf>
    <xf numFmtId="0" fontId="23" fillId="0" borderId="22" applyAlignment="1" pivotButton="0" quotePrefix="0" xfId="0">
      <alignment horizontal="center" vertical="center"/>
    </xf>
    <xf numFmtId="164" fontId="0" fillId="0" borderId="1" applyAlignment="1" pivotButton="0" quotePrefix="0" xfId="0">
      <alignment horizontal="left" vertical="center"/>
    </xf>
    <xf numFmtId="166" fontId="0" fillId="0" borderId="1" applyAlignment="1" pivotButton="0" quotePrefix="0" xfId="0">
      <alignment horizontal="left" vertical="center"/>
    </xf>
    <xf numFmtId="169" fontId="0" fillId="0" borderId="1" applyAlignment="1" pivotButton="0" quotePrefix="0" xfId="4">
      <alignment horizontal="left" vertical="center"/>
    </xf>
    <xf numFmtId="165" fontId="0" fillId="0" borderId="1" applyAlignment="1" pivotButton="0" quotePrefix="0" xfId="0">
      <alignment vertical="center"/>
    </xf>
    <xf numFmtId="169" fontId="0" fillId="0" borderId="1" applyAlignment="1" pivotButton="0" quotePrefix="0" xfId="3">
      <alignment horizontal="left" vertical="center"/>
    </xf>
    <xf numFmtId="0" fontId="0" fillId="0" borderId="0" pivotButton="0" quotePrefix="0" xfId="0"/>
    <xf numFmtId="168" fontId="5" fillId="0" borderId="1" pivotButton="0" quotePrefix="0" xfId="1"/>
    <xf numFmtId="167" fontId="16" fillId="0" borderId="16" applyAlignment="1" pivotButton="0" quotePrefix="0" xfId="0">
      <alignment horizontal="center" vertical="center"/>
    </xf>
    <xf numFmtId="167" fontId="13" fillId="0" borderId="16" applyAlignment="1" pivotButton="0" quotePrefix="0" xfId="0">
      <alignment horizontal="center" vertical="center"/>
    </xf>
    <xf numFmtId="167" fontId="12" fillId="0" borderId="16" applyAlignment="1" pivotButton="0" quotePrefix="0" xfId="0">
      <alignment horizontal="center" vertical="center"/>
    </xf>
    <xf numFmtId="167" fontId="0" fillId="0" borderId="16" applyAlignment="1" pivotButton="0" quotePrefix="0" xfId="0">
      <alignment vertical="center"/>
    </xf>
    <xf numFmtId="167" fontId="0" fillId="0" borderId="0" applyAlignment="1" pivotButton="0" quotePrefix="0" xfId="0">
      <alignment vertical="center"/>
    </xf>
    <xf numFmtId="167" fontId="19" fillId="0" borderId="17" applyAlignment="1" pivotButton="0" quotePrefix="0" xfId="0">
      <alignment horizontal="center" vertical="center"/>
    </xf>
    <xf numFmtId="167" fontId="19" fillId="0" borderId="3" applyAlignment="1" pivotButton="0" quotePrefix="0" xfId="0">
      <alignment horizontal="center" vertical="center"/>
    </xf>
    <xf numFmtId="167" fontId="19" fillId="0" borderId="20" applyAlignment="1" pivotButton="0" quotePrefix="0" xfId="0">
      <alignment horizontal="center" vertical="center"/>
    </xf>
  </cellXfs>
  <cellStyles count="6">
    <cellStyle name="標準" xfId="0" builtinId="0"/>
    <cellStyle name="標準 2" xfId="1"/>
    <cellStyle name="通貨 2" xfId="2"/>
    <cellStyle name="通貨 2 2" xfId="3"/>
    <cellStyle name="通貨 2 2 2" xfId="4"/>
    <cellStyle name="標準 3" xfId="5"/>
  </cellStyles>
  <dxfs count="8">
    <dxf>
      <font>
        <b val="1"/>
        <color rgb="FFFF0000"/>
      </font>
    </dxf>
    <dxf>
      <font>
        <b val="1"/>
        <color rgb="FFFF0000"/>
      </font>
    </dxf>
    <dxf>
      <font>
        <b val="1"/>
        <color theme="1"/>
      </font>
    </dxf>
    <dxf>
      <font>
        <b val="1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theme="8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T436"/>
  <sheetViews>
    <sheetView tabSelected="1" zoomScale="80" zoomScaleNormal="80" workbookViewId="0">
      <pane ySplit="4" topLeftCell="A5" activePane="bottomLeft" state="frozen"/>
      <selection activeCell="K21" sqref="K21"/>
      <selection pane="bottomLeft" activeCell="M119" sqref="M119"/>
    </sheetView>
  </sheetViews>
  <sheetFormatPr baseColWidth="8" defaultRowHeight="18.75"/>
  <cols>
    <col width="6.125" bestFit="1" customWidth="1" style="74" min="1" max="1"/>
    <col width="9" customWidth="1" style="12" min="2" max="2"/>
    <col width="9" customWidth="1" style="12" min="3" max="8"/>
    <col width="9.5" bestFit="1" customWidth="1" style="38" min="9" max="9"/>
    <col width="10.625" bestFit="1" customWidth="1" style="39" min="10" max="10"/>
    <col width="50.125" bestFit="1" customWidth="1" style="38" min="11" max="11"/>
    <col width="9" customWidth="1" style="75" min="12" max="12"/>
    <col width="12.125" bestFit="1" customWidth="1" style="12" min="13" max="13"/>
    <col width="12.125" customWidth="1" style="76" min="14" max="14"/>
    <col width="11" bestFit="1" customWidth="1" style="12" min="15" max="15"/>
    <col width="13" customWidth="1" style="12" min="16" max="16"/>
    <col width="13" bestFit="1" customWidth="1" style="12" min="17" max="17"/>
    <col width="9" customWidth="1" style="77" min="18" max="18"/>
    <col width="9" customWidth="1" style="1" min="19" max="19"/>
    <col width="55.375" bestFit="1" customWidth="1" style="1" min="20" max="20"/>
  </cols>
  <sheetData>
    <row r="1">
      <c r="A1" s="3" t="n">
        <v>26</v>
      </c>
      <c r="B1" s="3" t="inlineStr">
        <is>
          <t>年</t>
        </is>
      </c>
      <c r="C1" s="3" t="n">
        <v>26</v>
      </c>
      <c r="D1" s="3" t="inlineStr">
        <is>
          <t>年</t>
        </is>
      </c>
      <c r="E1" s="3" t="n"/>
      <c r="F1" s="3" t="n"/>
      <c r="G1" s="3" t="n"/>
      <c r="H1" s="21" t="n"/>
      <c r="I1" s="35" t="n"/>
      <c r="J1" s="36" t="n"/>
      <c r="K1" s="36" t="n"/>
      <c r="L1" s="0" t="n"/>
      <c r="M1" s="0" t="n"/>
      <c r="N1" s="0" t="n"/>
      <c r="O1" s="0" t="n"/>
      <c r="P1" s="0" t="n"/>
      <c r="Q1" s="0" t="n"/>
      <c r="R1" s="0" t="n"/>
      <c r="S1" s="0" t="n"/>
      <c r="T1" s="0" t="n"/>
    </row>
    <row r="2">
      <c r="A2" s="3" t="n">
        <v>4</v>
      </c>
      <c r="B2" s="3" t="inlineStr">
        <is>
          <t>月 21日</t>
        </is>
      </c>
      <c r="C2" s="19" t="n">
        <v>5</v>
      </c>
      <c r="D2" s="3" t="inlineStr">
        <is>
          <t>月 20日</t>
        </is>
      </c>
      <c r="E2" s="3" t="n"/>
      <c r="F2" s="3" t="n"/>
      <c r="G2" s="22" t="inlineStr">
        <is>
          <t>※一行すべて選択して削除！！</t>
        </is>
      </c>
      <c r="H2" s="21" t="n"/>
      <c r="I2" s="35" t="n"/>
      <c r="J2" s="36" t="n"/>
      <c r="K2" s="36" t="n"/>
      <c r="L2" s="0" t="n"/>
      <c r="M2" s="0" t="n"/>
      <c r="N2" s="0" t="n"/>
      <c r="O2" s="0" t="n"/>
      <c r="P2" s="0" t="n"/>
      <c r="Q2" s="0" t="n"/>
      <c r="R2" s="0" t="n"/>
      <c r="S2" s="0" t="n"/>
      <c r="T2" s="0" t="n"/>
    </row>
    <row r="3">
      <c r="A3" s="0" t="n"/>
      <c r="B3" s="0" t="n"/>
      <c r="C3" s="0" t="n"/>
      <c r="D3" s="0" t="n"/>
      <c r="E3" s="0" t="n"/>
      <c r="F3" s="0" t="n"/>
      <c r="G3" s="0" t="n"/>
      <c r="H3" s="0" t="n"/>
      <c r="I3" s="36" t="n"/>
      <c r="J3" s="36" t="n"/>
      <c r="K3" s="36" t="n"/>
      <c r="L3" s="0" t="n"/>
      <c r="M3" s="0" t="n"/>
      <c r="N3" s="0" t="n"/>
      <c r="O3" s="0" t="n"/>
      <c r="P3" s="0" t="n"/>
      <c r="Q3" s="0" t="n"/>
      <c r="R3" s="0" t="n"/>
      <c r="S3" s="0" t="n"/>
      <c r="T3" s="0" t="n"/>
    </row>
    <row r="4">
      <c r="A4" s="2" t="inlineStr">
        <is>
          <t>日付</t>
        </is>
      </c>
      <c r="B4" s="2" t="inlineStr">
        <is>
          <t>氏名</t>
        </is>
      </c>
      <c r="C4" s="2" t="inlineStr">
        <is>
          <t>出勤</t>
        </is>
      </c>
      <c r="D4" s="2" t="inlineStr">
        <is>
          <t>退勤</t>
        </is>
      </c>
      <c r="E4" s="2" t="inlineStr">
        <is>
          <t>残業</t>
        </is>
      </c>
      <c r="F4" s="2" t="inlineStr">
        <is>
          <t>開始</t>
        </is>
      </c>
      <c r="G4" s="2" t="inlineStr">
        <is>
          <t>終了</t>
        </is>
      </c>
      <c r="H4" s="2" t="inlineStr">
        <is>
          <t>職種</t>
        </is>
      </c>
      <c r="I4" s="37" t="inlineStr">
        <is>
          <t>区分</t>
        </is>
      </c>
      <c r="J4" s="37" t="inlineStr">
        <is>
          <t>業務名</t>
        </is>
      </c>
      <c r="K4" s="37" t="inlineStr">
        <is>
          <t>詳細</t>
        </is>
      </c>
      <c r="L4" s="2" t="inlineStr">
        <is>
          <t>時間(h)</t>
        </is>
      </c>
      <c r="M4" s="2" t="inlineStr">
        <is>
          <t>ソフト・機材</t>
        </is>
      </c>
      <c r="N4" s="2" t="inlineStr">
        <is>
          <t>料金</t>
        </is>
      </c>
      <c r="O4" s="2" t="inlineStr">
        <is>
          <t>車両</t>
        </is>
      </c>
      <c r="P4" s="2" t="inlineStr">
        <is>
          <t>発</t>
        </is>
      </c>
      <c r="Q4" s="2" t="inlineStr">
        <is>
          <t>着</t>
        </is>
      </c>
      <c r="R4" s="2" t="inlineStr">
        <is>
          <t>距離</t>
        </is>
      </c>
      <c r="S4" s="2" t="inlineStr">
        <is>
          <t>移動方法</t>
        </is>
      </c>
      <c r="T4" s="2" t="inlineStr">
        <is>
          <t>備考</t>
        </is>
      </c>
    </row>
    <row r="5">
      <c r="A5" s="74" t="n">
        <v>46133</v>
      </c>
      <c r="B5" s="12" t="inlineStr">
        <is>
          <t>金本</t>
        </is>
      </c>
      <c r="C5" s="20" t="n">
        <v>0.3541666666666667</v>
      </c>
      <c r="D5" s="20" t="n">
        <v>0.7291666666666666</v>
      </c>
      <c r="E5" s="20" t="n">
        <v>0</v>
      </c>
      <c r="F5" s="12" t="inlineStr">
        <is>
          <t>本社</t>
        </is>
      </c>
      <c r="G5" s="12" t="inlineStr">
        <is>
          <t>本社</t>
        </is>
      </c>
      <c r="H5" s="12" t="inlineStr">
        <is>
          <t>助手</t>
        </is>
      </c>
      <c r="I5" s="12" t="inlineStr">
        <is>
          <t>研修</t>
        </is>
      </c>
      <c r="J5" s="12" t="inlineStr">
        <is>
          <t>研修</t>
        </is>
      </c>
      <c r="K5" s="14" t="inlineStr">
        <is>
          <t>正常データ：通常勤務</t>
        </is>
      </c>
      <c r="L5" s="75" t="n">
        <v>8</v>
      </c>
      <c r="M5" s="12" t="inlineStr">
        <is>
          <t>なし</t>
        </is>
      </c>
      <c r="N5" s="76" t="inlineStr">
        <is>
          <t>-</t>
        </is>
      </c>
      <c r="O5" s="12" t="inlineStr">
        <is>
          <t>なし</t>
        </is>
      </c>
      <c r="P5" s="12" t="inlineStr">
        <is>
          <t>-</t>
        </is>
      </c>
      <c r="Q5" s="12" t="inlineStr">
        <is>
          <t>-</t>
        </is>
      </c>
      <c r="R5" s="77" t="inlineStr">
        <is>
          <t>-</t>
        </is>
      </c>
      <c r="S5" s="1" t="inlineStr">
        <is>
          <t>-</t>
        </is>
      </c>
      <c r="T5" t="inlineStr">
        <is>
          <t>テスト：正常行</t>
        </is>
      </c>
    </row>
    <row r="6">
      <c r="A6" s="74" t="n">
        <v>46133</v>
      </c>
      <c r="B6" s="12" t="inlineStr">
        <is>
          <t>タイ</t>
        </is>
      </c>
      <c r="C6" s="20" t="n">
        <v>0.3541666666666667</v>
      </c>
      <c r="D6" s="20" t="n">
        <v>0.7291666666666666</v>
      </c>
      <c r="E6" s="20" t="n">
        <v>0</v>
      </c>
      <c r="F6" s="12" t="inlineStr">
        <is>
          <t>本社</t>
        </is>
      </c>
      <c r="G6" s="12" t="inlineStr">
        <is>
          <t>本社</t>
        </is>
      </c>
      <c r="H6" s="12" t="inlineStr">
        <is>
          <t>助手</t>
        </is>
      </c>
      <c r="I6" s="59" t="inlineStr">
        <is>
          <t>EA156</t>
        </is>
      </c>
      <c r="J6" s="1" t="inlineStr">
        <is>
          <t>R7寺田拡幅</t>
        </is>
      </c>
      <c r="K6" s="14" t="inlineStr">
        <is>
          <t>正常データ：機材使用あり</t>
        </is>
      </c>
      <c r="L6" s="75" t="n">
        <v>8</v>
      </c>
      <c r="M6" s="12" t="inlineStr">
        <is>
          <t>AUTODESK</t>
        </is>
      </c>
      <c r="N6" s="76" t="n">
        <v>1750</v>
      </c>
      <c r="O6" s="12" t="inlineStr">
        <is>
          <t>なし</t>
        </is>
      </c>
      <c r="P6" s="12" t="inlineStr">
        <is>
          <t>-</t>
        </is>
      </c>
      <c r="Q6" s="12" t="inlineStr">
        <is>
          <t>-</t>
        </is>
      </c>
      <c r="R6" s="77" t="inlineStr">
        <is>
          <t>-</t>
        </is>
      </c>
      <c r="S6" s="1" t="inlineStr">
        <is>
          <t>-</t>
        </is>
      </c>
      <c r="T6" t="inlineStr">
        <is>
          <t>テスト：正常行</t>
        </is>
      </c>
    </row>
    <row r="7">
      <c r="A7" s="74" t="n">
        <v>46133</v>
      </c>
      <c r="B7" s="12" t="inlineStr">
        <is>
          <t>南</t>
        </is>
      </c>
      <c r="C7" s="20" t="n">
        <v>0.3541666666666667</v>
      </c>
      <c r="D7" s="20" t="n">
        <v>0.7291666666666666</v>
      </c>
      <c r="E7" s="20" t="n">
        <v>0</v>
      </c>
      <c r="F7" s="12" t="inlineStr">
        <is>
          <t>本社</t>
        </is>
      </c>
      <c r="G7" s="12" t="inlineStr">
        <is>
          <t>本社</t>
        </is>
      </c>
      <c r="H7" s="12" t="inlineStr">
        <is>
          <t>助手</t>
        </is>
      </c>
      <c r="I7" s="59" t="inlineStr">
        <is>
          <t>EA156</t>
        </is>
      </c>
      <c r="J7" s="1" t="inlineStr">
        <is>
          <t>R7寺田拡幅</t>
        </is>
      </c>
      <c r="K7" s="14" t="inlineStr">
        <is>
          <t>正常データ：移動あり</t>
        </is>
      </c>
      <c r="L7" s="75" t="n">
        <v>8</v>
      </c>
      <c r="M7" s="12" t="inlineStr">
        <is>
          <t>なし</t>
        </is>
      </c>
      <c r="N7" s="76" t="inlineStr">
        <is>
          <t>-</t>
        </is>
      </c>
      <c r="O7" s="12" t="inlineStr">
        <is>
          <t>ハイエース</t>
        </is>
      </c>
      <c r="P7" s="12" t="inlineStr">
        <is>
          <t>本社</t>
        </is>
      </c>
      <c r="Q7" s="12" t="inlineStr">
        <is>
          <t>寺田</t>
        </is>
      </c>
      <c r="R7" s="77" t="n">
        <v>21</v>
      </c>
      <c r="S7" s="1" t="inlineStr">
        <is>
          <t>下道</t>
        </is>
      </c>
      <c r="T7" t="inlineStr">
        <is>
          <t>テスト：正常行</t>
        </is>
      </c>
    </row>
    <row r="8">
      <c r="A8" s="74" t="n">
        <v>46134</v>
      </c>
      <c r="B8" s="12" t="inlineStr">
        <is>
          <t>金本</t>
        </is>
      </c>
      <c r="C8" s="20" t="n">
        <v>0.3541666666666667</v>
      </c>
      <c r="D8" s="20" t="n">
        <v>0.7291666666666666</v>
      </c>
      <c r="E8" s="20" t="n">
        <v>0</v>
      </c>
      <c r="F8" s="12" t="inlineStr">
        <is>
          <t>本社</t>
        </is>
      </c>
      <c r="G8" s="12" t="inlineStr">
        <is>
          <t>本社</t>
        </is>
      </c>
      <c r="H8" s="12" t="inlineStr">
        <is>
          <t>助手</t>
        </is>
      </c>
      <c r="I8" s="38" t="inlineStr">
        <is>
          <t>2026/4/27</t>
        </is>
      </c>
      <c r="J8" s="39" t="inlineStr">
        <is>
          <t>間違いデータ</t>
        </is>
      </c>
      <c r="K8" s="14" t="inlineStr">
        <is>
          <t>★エラー：区分列にスラッシュ日付</t>
        </is>
      </c>
      <c r="L8" s="75" t="n">
        <v>8</v>
      </c>
      <c r="M8" s="12" t="inlineStr">
        <is>
          <t>なし</t>
        </is>
      </c>
      <c r="N8" s="76" t="inlineStr">
        <is>
          <t>-</t>
        </is>
      </c>
      <c r="O8" s="12" t="inlineStr">
        <is>
          <t>なし</t>
        </is>
      </c>
      <c r="P8" s="12" t="inlineStr">
        <is>
          <t>-</t>
        </is>
      </c>
      <c r="Q8" s="12" t="inlineStr">
        <is>
          <t>-</t>
        </is>
      </c>
      <c r="R8" s="77" t="inlineStr">
        <is>
          <t>-</t>
        </is>
      </c>
      <c r="S8" s="1" t="inlineStr">
        <is>
          <t>-</t>
        </is>
      </c>
      <c r="T8" t="inlineStr">
        <is>
          <t>テスト：#1-1エラー(/)</t>
        </is>
      </c>
    </row>
    <row r="9">
      <c r="A9" s="74" t="n">
        <v>46134</v>
      </c>
      <c r="B9" s="12" t="inlineStr">
        <is>
          <t>タイ</t>
        </is>
      </c>
      <c r="C9" s="20" t="n">
        <v>0.3541666666666667</v>
      </c>
      <c r="D9" s="20" t="n">
        <v>0.7291666666666666</v>
      </c>
      <c r="E9" s="20" t="n">
        <v>0</v>
      </c>
      <c r="F9" s="20" t="inlineStr">
        <is>
          <t>本社</t>
        </is>
      </c>
      <c r="G9" s="20" t="inlineStr">
        <is>
          <t>本社</t>
        </is>
      </c>
      <c r="H9" s="12" t="inlineStr">
        <is>
          <t>助手</t>
        </is>
      </c>
      <c r="I9" s="59" t="inlineStr">
        <is>
          <t>03-15</t>
        </is>
      </c>
      <c r="J9" s="1" t="inlineStr">
        <is>
          <t>間違いデータ</t>
        </is>
      </c>
      <c r="K9" s="14" t="inlineStr">
        <is>
          <t>★エラー：区分列にハイフン日付</t>
        </is>
      </c>
      <c r="L9" s="75" t="n">
        <v>8</v>
      </c>
      <c r="M9" s="12" t="inlineStr">
        <is>
          <t>なし</t>
        </is>
      </c>
      <c r="N9" s="76" t="inlineStr">
        <is>
          <t>-</t>
        </is>
      </c>
      <c r="O9" s="12" t="inlineStr">
        <is>
          <t>なし</t>
        </is>
      </c>
      <c r="P9" s="12" t="inlineStr">
        <is>
          <t>-</t>
        </is>
      </c>
      <c r="Q9" s="12" t="inlineStr">
        <is>
          <t>-</t>
        </is>
      </c>
      <c r="R9" s="77" t="inlineStr">
        <is>
          <t>-</t>
        </is>
      </c>
      <c r="S9" s="1" t="inlineStr">
        <is>
          <t>-</t>
        </is>
      </c>
      <c r="T9" t="inlineStr">
        <is>
          <t>テスト：#1-1エラー(-)</t>
        </is>
      </c>
    </row>
    <row r="10">
      <c r="A10" s="74" t="n">
        <v>46135</v>
      </c>
      <c r="B10" s="12" t="inlineStr">
        <is>
          <t>ズイ</t>
        </is>
      </c>
      <c r="C10" s="20" t="n">
        <v>0.3541666666666667</v>
      </c>
      <c r="D10" s="20" t="n">
        <v>0.7291666666666666</v>
      </c>
      <c r="E10" s="20" t="n">
        <v>0</v>
      </c>
      <c r="F10" s="12" t="inlineStr">
        <is>
          <t>本社</t>
        </is>
      </c>
      <c r="G10" s="12" t="inlineStr">
        <is>
          <t>本社</t>
        </is>
      </c>
      <c r="H10" s="12" t="inlineStr">
        <is>
          <t>助手</t>
        </is>
      </c>
      <c r="I10" s="59" t="inlineStr">
        <is>
          <t>EA156</t>
        </is>
      </c>
      <c r="J10" s="1" t="inlineStr">
        <is>
          <t>R7寺田拡幅</t>
        </is>
      </c>
      <c r="K10" s="14" t="inlineStr">
        <is>
          <t>★エラー：時間25.5h</t>
        </is>
      </c>
      <c r="L10" s="75" t="n">
        <v>25.5</v>
      </c>
      <c r="M10" s="12" t="inlineStr">
        <is>
          <t>なし</t>
        </is>
      </c>
      <c r="N10" s="76" t="inlineStr">
        <is>
          <t>-</t>
        </is>
      </c>
      <c r="O10" s="12" t="inlineStr">
        <is>
          <t>なし</t>
        </is>
      </c>
      <c r="P10" s="12" t="inlineStr">
        <is>
          <t>-</t>
        </is>
      </c>
      <c r="Q10" s="12" t="inlineStr">
        <is>
          <t>-</t>
        </is>
      </c>
      <c r="R10" s="77" t="inlineStr">
        <is>
          <t>-</t>
        </is>
      </c>
      <c r="S10" s="1" t="inlineStr">
        <is>
          <t>-</t>
        </is>
      </c>
      <c r="T10" t="inlineStr">
        <is>
          <t>テスト：#3-1エラー(時間≥24)</t>
        </is>
      </c>
    </row>
    <row r="11">
      <c r="A11" s="74" t="n">
        <v>46135</v>
      </c>
      <c r="B11" s="12" t="inlineStr">
        <is>
          <t>フック</t>
        </is>
      </c>
      <c r="C11" s="20" t="n">
        <v>0.3541666666666667</v>
      </c>
      <c r="D11" s="20" t="n">
        <v>0.7291666666666666</v>
      </c>
      <c r="E11" s="20" t="n">
        <v>0</v>
      </c>
      <c r="F11" s="12" t="inlineStr">
        <is>
          <t>本社</t>
        </is>
      </c>
      <c r="G11" s="12" t="inlineStr">
        <is>
          <t>本社</t>
        </is>
      </c>
      <c r="H11" s="12" t="inlineStr">
        <is>
          <t>助手</t>
        </is>
      </c>
      <c r="I11" s="12" t="inlineStr">
        <is>
          <t>研修</t>
        </is>
      </c>
      <c r="J11" s="12" t="inlineStr">
        <is>
          <t>研修</t>
        </is>
      </c>
      <c r="K11" s="14" t="inlineStr">
        <is>
          <t>★エラー：時間 -2h</t>
        </is>
      </c>
      <c r="L11" s="75" t="n">
        <v>-2</v>
      </c>
      <c r="M11" s="12" t="inlineStr">
        <is>
          <t>なし</t>
        </is>
      </c>
      <c r="N11" s="76" t="inlineStr">
        <is>
          <t>-</t>
        </is>
      </c>
      <c r="O11" s="12" t="inlineStr">
        <is>
          <t>なし</t>
        </is>
      </c>
      <c r="P11" s="12" t="inlineStr">
        <is>
          <t>-</t>
        </is>
      </c>
      <c r="Q11" s="12" t="inlineStr">
        <is>
          <t>-</t>
        </is>
      </c>
      <c r="R11" s="77" t="inlineStr">
        <is>
          <t>-</t>
        </is>
      </c>
      <c r="S11" s="1" t="inlineStr">
        <is>
          <t>-</t>
        </is>
      </c>
      <c r="T11" t="inlineStr">
        <is>
          <t>テスト：#3-2エラー(時間&lt;0)</t>
        </is>
      </c>
    </row>
    <row r="12">
      <c r="A12" s="74" t="n">
        <v>46136</v>
      </c>
      <c r="B12" s="12" t="inlineStr">
        <is>
          <t>南</t>
        </is>
      </c>
      <c r="C12" s="20" t="n">
        <v>0.3541666666666667</v>
      </c>
      <c r="D12" s="20" t="n">
        <v>0.7291666666666666</v>
      </c>
      <c r="E12" s="20" t="n">
        <v>0</v>
      </c>
      <c r="F12" s="12" t="inlineStr">
        <is>
          <t>本社</t>
        </is>
      </c>
      <c r="G12" s="12" t="inlineStr">
        <is>
          <t>本社</t>
        </is>
      </c>
      <c r="H12" s="12" t="inlineStr">
        <is>
          <t>助手</t>
        </is>
      </c>
      <c r="I12" s="12" t="inlineStr">
        <is>
          <t>EA156</t>
        </is>
      </c>
      <c r="J12" s="12" t="inlineStr">
        <is>
          <t>R7寺田拡幅</t>
        </is>
      </c>
      <c r="K12" s="14" t="inlineStr">
        <is>
          <t>★エラー：距離 -10km</t>
        </is>
      </c>
      <c r="L12" s="75" t="n">
        <v>8</v>
      </c>
      <c r="M12" s="12" t="inlineStr">
        <is>
          <t>なし</t>
        </is>
      </c>
      <c r="N12" s="76" t="inlineStr">
        <is>
          <t>-</t>
        </is>
      </c>
      <c r="O12" s="12" t="inlineStr">
        <is>
          <t>ハイエース</t>
        </is>
      </c>
      <c r="P12" s="12" t="inlineStr">
        <is>
          <t>本社</t>
        </is>
      </c>
      <c r="Q12" s="12" t="inlineStr">
        <is>
          <t>寺田</t>
        </is>
      </c>
      <c r="R12" s="77" t="n">
        <v>-10</v>
      </c>
      <c r="S12" s="1" t="inlineStr">
        <is>
          <t>下道</t>
        </is>
      </c>
      <c r="T12" t="inlineStr">
        <is>
          <t>テスト：#3-3エラー(距離&lt;0)</t>
        </is>
      </c>
    </row>
    <row r="13">
      <c r="A13" s="74" t="n">
        <v>46137</v>
      </c>
      <c r="B13" s="12" t="inlineStr">
        <is>
          <t>鈴木</t>
        </is>
      </c>
      <c r="C13" s="20" t="n">
        <v>0.3541666666666667</v>
      </c>
      <c r="D13" s="20" t="n">
        <v>0.7291666666666666</v>
      </c>
      <c r="E13" s="20" t="n">
        <v>0</v>
      </c>
      <c r="F13" s="12" t="inlineStr">
        <is>
          <t>本社</t>
        </is>
      </c>
      <c r="G13" s="12" t="inlineStr">
        <is>
          <t>本社</t>
        </is>
      </c>
      <c r="H13" s="12" t="inlineStr">
        <is>
          <t>助手</t>
        </is>
      </c>
      <c r="I13" s="59" t="inlineStr">
        <is>
          <t>EA156</t>
        </is>
      </c>
      <c r="J13" s="1" t="inlineStr">
        <is>
          <t>R7寺田拡幅</t>
        </is>
      </c>
      <c r="K13" s="38" t="inlineStr">
        <is>
          <t>★新規社員テスト：鈴木</t>
        </is>
      </c>
      <c r="L13" s="75" t="n">
        <v>8</v>
      </c>
      <c r="M13" s="12" t="inlineStr">
        <is>
          <t>なし</t>
        </is>
      </c>
      <c r="N13" s="76" t="inlineStr">
        <is>
          <t>-</t>
        </is>
      </c>
      <c r="O13" s="12" t="inlineStr">
        <is>
          <t>なし</t>
        </is>
      </c>
      <c r="P13" s="12" t="inlineStr">
        <is>
          <t>-</t>
        </is>
      </c>
      <c r="Q13" s="12" t="inlineStr">
        <is>
          <t>-</t>
        </is>
      </c>
      <c r="R13" s="77" t="inlineStr">
        <is>
          <t>-</t>
        </is>
      </c>
      <c r="S13" s="1" t="inlineStr">
        <is>
          <t>-</t>
        </is>
      </c>
      <c r="T13" t="inlineStr">
        <is>
          <t>テスト：新規社員(employees未登録)</t>
        </is>
      </c>
    </row>
    <row r="14">
      <c r="A14" s="74" t="n">
        <v>46137</v>
      </c>
      <c r="B14" s="12" t="inlineStr">
        <is>
          <t>田中</t>
        </is>
      </c>
      <c r="C14" s="20" t="n">
        <v>0.3541666666666667</v>
      </c>
      <c r="D14" s="20" t="n">
        <v>0.7291666666666666</v>
      </c>
      <c r="E14" s="20" t="n">
        <v>0</v>
      </c>
      <c r="F14" s="12" t="inlineStr">
        <is>
          <t>本社</t>
        </is>
      </c>
      <c r="G14" s="12" t="inlineStr">
        <is>
          <t>本社</t>
        </is>
      </c>
      <c r="H14" s="12" t="inlineStr">
        <is>
          <t>助手</t>
        </is>
      </c>
      <c r="I14" s="59" t="inlineStr">
        <is>
          <t>研修</t>
        </is>
      </c>
      <c r="J14" s="1" t="inlineStr">
        <is>
          <t>研修</t>
        </is>
      </c>
      <c r="K14" s="38" t="inlineStr">
        <is>
          <t>★新規社員テスト：田中</t>
        </is>
      </c>
      <c r="L14" s="75" t="n">
        <v>7.5</v>
      </c>
      <c r="M14" s="12" t="inlineStr">
        <is>
          <t>なし</t>
        </is>
      </c>
      <c r="N14" s="76" t="inlineStr">
        <is>
          <t>-</t>
        </is>
      </c>
      <c r="O14" s="12" t="inlineStr">
        <is>
          <t>なし</t>
        </is>
      </c>
      <c r="P14" s="12" t="inlineStr">
        <is>
          <t>-</t>
        </is>
      </c>
      <c r="Q14" s="12" t="inlineStr">
        <is>
          <t>-</t>
        </is>
      </c>
      <c r="R14" s="77" t="inlineStr">
        <is>
          <t>-</t>
        </is>
      </c>
      <c r="S14" s="1" t="inlineStr">
        <is>
          <t>-</t>
        </is>
      </c>
      <c r="T14" t="inlineStr">
        <is>
          <t>テスト：新規社員(employees未登録)</t>
        </is>
      </c>
    </row>
    <row r="15">
      <c r="A15" s="74" t="n">
        <v>46140</v>
      </c>
      <c r="B15" s="12" t="inlineStr">
        <is>
          <t>仲</t>
        </is>
      </c>
      <c r="C15" s="20" t="n">
        <v>0.3541666666666667</v>
      </c>
      <c r="D15" s="20" t="n">
        <v>0.7291666666666666</v>
      </c>
      <c r="E15" s="20" t="n">
        <v>0</v>
      </c>
      <c r="F15" s="12" t="inlineStr">
        <is>
          <t>本社</t>
        </is>
      </c>
      <c r="G15" s="12" t="inlineStr">
        <is>
          <t>本社</t>
        </is>
      </c>
      <c r="H15" s="12" t="inlineStr">
        <is>
          <t>助手</t>
        </is>
      </c>
      <c r="I15" s="38" t="inlineStr">
        <is>
          <t>EA105</t>
        </is>
      </c>
      <c r="J15" s="39" t="inlineStr">
        <is>
          <t>鳥居水門</t>
        </is>
      </c>
      <c r="K15" s="14" t="inlineStr">
        <is>
          <t>正常データ：エラー後の正常行</t>
        </is>
      </c>
      <c r="L15" s="75" t="n">
        <v>8</v>
      </c>
      <c r="M15" s="12" t="inlineStr">
        <is>
          <t>なし</t>
        </is>
      </c>
      <c r="N15" s="76" t="inlineStr">
        <is>
          <t>-</t>
        </is>
      </c>
      <c r="O15" s="12" t="inlineStr">
        <is>
          <t>なし</t>
        </is>
      </c>
      <c r="P15" s="12" t="inlineStr">
        <is>
          <t>-</t>
        </is>
      </c>
      <c r="Q15" s="12" t="inlineStr">
        <is>
          <t>-</t>
        </is>
      </c>
      <c r="R15" s="77" t="inlineStr">
        <is>
          <t>-</t>
        </is>
      </c>
      <c r="S15" s="1" t="inlineStr">
        <is>
          <t>-</t>
        </is>
      </c>
      <c r="T15" t="inlineStr">
        <is>
          <t>テスト：正常行(末尾)</t>
        </is>
      </c>
    </row>
    <row r="16">
      <c r="A16" s="74" t="n">
        <v>46140</v>
      </c>
      <c r="B16" s="12" t="inlineStr">
        <is>
          <t>バタイ</t>
        </is>
      </c>
      <c r="C16" s="20" t="n">
        <v>0.3541666666666667</v>
      </c>
      <c r="D16" s="20" t="n">
        <v>0.7291666666666666</v>
      </c>
      <c r="E16" s="20" t="n">
        <v>0</v>
      </c>
      <c r="F16" s="12" t="inlineStr">
        <is>
          <t>本社</t>
        </is>
      </c>
      <c r="G16" s="12" t="inlineStr">
        <is>
          <t>本社</t>
        </is>
      </c>
      <c r="H16" s="12" t="inlineStr">
        <is>
          <t>助手</t>
        </is>
      </c>
      <c r="I16" s="59" t="inlineStr">
        <is>
          <t>営業</t>
        </is>
      </c>
      <c r="J16" s="1" t="inlineStr">
        <is>
          <t>営業</t>
        </is>
      </c>
      <c r="K16" s="14" t="inlineStr">
        <is>
          <t>正常データ：営業</t>
        </is>
      </c>
      <c r="L16" s="75" t="n">
        <v>4</v>
      </c>
      <c r="M16" s="12" t="inlineStr">
        <is>
          <t>なし</t>
        </is>
      </c>
      <c r="N16" s="76" t="inlineStr">
        <is>
          <t>-</t>
        </is>
      </c>
      <c r="O16" s="12" t="inlineStr">
        <is>
          <t>なし</t>
        </is>
      </c>
      <c r="P16" s="12" t="inlineStr">
        <is>
          <t>-</t>
        </is>
      </c>
      <c r="Q16" s="12" t="inlineStr">
        <is>
          <t>-</t>
        </is>
      </c>
      <c r="R16" s="77" t="inlineStr">
        <is>
          <t>-</t>
        </is>
      </c>
      <c r="S16" s="1" t="inlineStr">
        <is>
          <t>-</t>
        </is>
      </c>
      <c r="T16" t="inlineStr">
        <is>
          <t>テスト：正常行</t>
        </is>
      </c>
    </row>
    <row r="17">
      <c r="A17" s="74" t="n"/>
      <c r="B17" s="12" t="n"/>
      <c r="C17" s="20" t="n"/>
      <c r="D17" s="20" t="n"/>
      <c r="E17" s="20" t="n"/>
      <c r="F17" s="12" t="n"/>
      <c r="G17" s="12" t="n"/>
      <c r="H17" s="12" t="n"/>
      <c r="I17" s="59" t="n"/>
      <c r="J17" s="1" t="n"/>
      <c r="K17" s="14" t="n"/>
      <c r="L17" s="75" t="n"/>
      <c r="M17" s="12" t="n"/>
      <c r="N17" s="76" t="n"/>
      <c r="O17" s="12" t="n"/>
      <c r="P17" s="12" t="n"/>
      <c r="Q17" s="12" t="n"/>
      <c r="R17" s="77" t="n"/>
      <c r="S17" s="1" t="n"/>
    </row>
    <row r="18">
      <c r="A18" s="74" t="n"/>
      <c r="B18" s="12" t="n"/>
      <c r="C18" s="20" t="n"/>
      <c r="D18" s="20" t="n"/>
      <c r="E18" s="20" t="n"/>
      <c r="F18" s="12" t="n"/>
      <c r="G18" s="12" t="n"/>
      <c r="H18" s="12" t="n"/>
      <c r="I18" s="12" t="n"/>
      <c r="J18" s="12" t="n"/>
      <c r="K18" s="14" t="n"/>
      <c r="L18" s="75" t="n"/>
      <c r="M18" s="12" t="n"/>
      <c r="N18" s="76" t="n"/>
      <c r="O18" s="12" t="n"/>
      <c r="P18" s="12" t="n"/>
      <c r="Q18" s="12" t="n"/>
      <c r="R18" s="77" t="n"/>
      <c r="S18" s="1" t="n"/>
      <c r="T18" s="1" t="n"/>
    </row>
    <row r="19">
      <c r="A19" s="74" t="n"/>
      <c r="B19" s="12" t="n"/>
      <c r="C19" s="20" t="n"/>
      <c r="D19" s="20" t="n"/>
      <c r="E19" s="20" t="n"/>
      <c r="F19" s="12" t="n"/>
      <c r="G19" s="12" t="n"/>
      <c r="H19" s="12" t="n"/>
      <c r="I19" s="38" t="n"/>
      <c r="J19" s="39" t="n"/>
      <c r="K19" s="14" t="n"/>
      <c r="L19" s="75" t="n"/>
      <c r="M19" s="12" t="n"/>
      <c r="N19" s="76" t="n"/>
      <c r="O19" s="12" t="n"/>
      <c r="P19" s="12" t="n"/>
      <c r="Q19" s="12" t="n"/>
      <c r="R19" s="77" t="n"/>
      <c r="S19" s="1" t="n"/>
    </row>
    <row r="20">
      <c r="A20" s="74" t="n"/>
      <c r="B20" s="12" t="n"/>
      <c r="C20" s="20" t="n"/>
      <c r="D20" s="20" t="n"/>
      <c r="E20" s="20" t="n"/>
      <c r="F20" s="12" t="n"/>
      <c r="G20" s="12" t="n"/>
      <c r="H20" s="12" t="n"/>
      <c r="I20" s="1" t="n"/>
      <c r="J20" s="1" t="n"/>
      <c r="K20" s="14" t="n"/>
      <c r="L20" s="75" t="n"/>
      <c r="M20" s="12" t="n"/>
      <c r="N20" s="76" t="n"/>
      <c r="O20" s="12" t="n"/>
      <c r="P20" s="12" t="n"/>
      <c r="Q20" s="12" t="n"/>
      <c r="R20" s="77" t="n"/>
      <c r="S20" s="1" t="n"/>
    </row>
    <row r="21">
      <c r="A21" s="74" t="n"/>
      <c r="B21" s="12" t="n"/>
      <c r="C21" s="20" t="n"/>
      <c r="D21" s="20" t="n"/>
      <c r="E21" s="20" t="n"/>
      <c r="F21" s="12" t="n"/>
      <c r="G21" s="12" t="n"/>
      <c r="H21" s="12" t="n"/>
      <c r="I21" s="59" t="n"/>
      <c r="J21" s="1" t="n"/>
      <c r="K21" s="14" t="n"/>
      <c r="L21" s="75" t="n"/>
      <c r="M21" s="12" t="n"/>
      <c r="N21" s="76" t="n"/>
      <c r="O21" s="12" t="n"/>
      <c r="P21" s="12" t="n"/>
      <c r="Q21" s="12" t="n"/>
      <c r="R21" s="77" t="n"/>
      <c r="S21" s="1" t="n"/>
    </row>
    <row r="22">
      <c r="A22" s="74" t="n"/>
      <c r="B22" s="12" t="n"/>
      <c r="C22" s="20" t="n"/>
      <c r="D22" s="20" t="n"/>
      <c r="E22" s="20" t="n"/>
      <c r="F22" s="12" t="n"/>
      <c r="G22" s="12" t="n"/>
      <c r="H22" s="12" t="n"/>
      <c r="I22" s="59" t="n"/>
      <c r="J22" s="1" t="n"/>
      <c r="K22" s="14" t="n"/>
      <c r="L22" s="75" t="n"/>
      <c r="M22" s="12" t="n"/>
      <c r="N22" s="76" t="n"/>
      <c r="O22" s="12" t="n"/>
      <c r="P22" s="12" t="n"/>
      <c r="Q22" s="12" t="n"/>
      <c r="R22" s="77" t="n"/>
      <c r="S22" s="1" t="n"/>
    </row>
    <row r="23">
      <c r="A23" s="74" t="n"/>
      <c r="B23" s="12" t="n"/>
      <c r="C23" s="20" t="n"/>
      <c r="D23" s="20" t="n"/>
      <c r="E23" s="20" t="n"/>
      <c r="F23" s="12" t="n"/>
      <c r="G23" s="12" t="n"/>
      <c r="H23" s="12" t="n"/>
      <c r="I23" s="60" t="n"/>
      <c r="J23" s="61" t="n"/>
      <c r="K23" s="38" t="n"/>
      <c r="L23" s="75" t="n"/>
      <c r="M23" s="12" t="n"/>
      <c r="N23" s="76" t="n"/>
      <c r="O23" s="12" t="n"/>
      <c r="P23" s="12" t="n"/>
      <c r="Q23" s="12" t="n"/>
      <c r="R23" s="77" t="n"/>
      <c r="S23" s="1" t="n"/>
    </row>
    <row r="24">
      <c r="A24" s="74" t="n"/>
      <c r="B24" s="12" t="n"/>
      <c r="C24" s="20" t="n"/>
      <c r="D24" s="20" t="n"/>
      <c r="E24" s="20" t="n"/>
      <c r="F24" s="12" t="n"/>
      <c r="G24" s="12" t="n"/>
      <c r="H24" s="12" t="n"/>
      <c r="I24" s="1" t="n"/>
      <c r="J24" s="1" t="n"/>
      <c r="K24" s="14" t="n"/>
      <c r="L24" s="75" t="n"/>
      <c r="M24" s="12" t="n"/>
      <c r="N24" s="76" t="n"/>
      <c r="O24" s="12" t="n"/>
      <c r="P24" s="12" t="n"/>
      <c r="Q24" s="12" t="n"/>
      <c r="R24" s="77" t="n"/>
      <c r="S24" s="1" t="n"/>
    </row>
    <row r="25">
      <c r="A25" s="74" t="n"/>
      <c r="B25" s="12" t="n"/>
      <c r="C25" s="20" t="n"/>
      <c r="D25" s="20" t="n"/>
      <c r="E25" s="20" t="n"/>
      <c r="F25" s="12" t="n"/>
      <c r="G25" s="12" t="n"/>
      <c r="H25" s="12" t="n"/>
      <c r="I25" s="59" t="n"/>
      <c r="J25" s="1" t="n"/>
      <c r="K25" s="14" t="n"/>
      <c r="L25" s="75" t="n"/>
      <c r="M25" s="12" t="n"/>
      <c r="N25" s="76" t="n"/>
      <c r="O25" s="12" t="n"/>
      <c r="P25" s="12" t="n"/>
      <c r="Q25" s="12" t="n"/>
      <c r="R25" s="77" t="n"/>
      <c r="S25" s="1" t="n"/>
    </row>
    <row r="26">
      <c r="A26" s="74" t="n"/>
      <c r="B26" s="12" t="n"/>
      <c r="C26" s="20" t="n"/>
      <c r="D26" s="20" t="n"/>
      <c r="E26" s="20" t="n"/>
      <c r="F26" s="12" t="n"/>
      <c r="G26" s="12" t="n"/>
      <c r="H26" s="12" t="n"/>
      <c r="I26" s="59" t="n"/>
      <c r="J26" s="1" t="n"/>
      <c r="K26" s="14" t="n"/>
      <c r="L26" s="75" t="n"/>
      <c r="M26" s="12" t="n"/>
      <c r="N26" s="76" t="n"/>
      <c r="O26" s="12" t="n"/>
      <c r="P26" s="12" t="n"/>
      <c r="Q26" s="12" t="n"/>
      <c r="R26" s="77" t="n"/>
      <c r="S26" s="1" t="n"/>
    </row>
    <row r="27">
      <c r="A27" s="74" t="n"/>
      <c r="B27" s="12" t="n"/>
      <c r="C27" s="20" t="n"/>
      <c r="D27" s="20" t="n"/>
      <c r="E27" s="20" t="n"/>
      <c r="F27" s="12" t="n"/>
      <c r="G27" s="12" t="n"/>
      <c r="H27" s="12" t="n"/>
      <c r="I27" s="59" t="n"/>
      <c r="J27" s="1" t="n"/>
      <c r="K27" s="14" t="n"/>
      <c r="L27" s="75" t="n"/>
      <c r="M27" s="12" t="n"/>
      <c r="N27" s="76" t="n"/>
      <c r="O27" s="12" t="n"/>
      <c r="P27" s="12" t="n"/>
      <c r="Q27" s="12" t="n"/>
      <c r="R27" s="77" t="n"/>
      <c r="S27" s="1" t="n"/>
    </row>
    <row r="28">
      <c r="A28" s="74" t="n"/>
      <c r="B28" s="12" t="n"/>
      <c r="C28" s="20" t="n"/>
      <c r="D28" s="20" t="n"/>
      <c r="E28" s="20" t="n"/>
      <c r="F28" s="12" t="n"/>
      <c r="G28" s="12" t="n"/>
      <c r="H28" s="12" t="n"/>
      <c r="I28" s="59" t="n"/>
      <c r="J28" s="1" t="n"/>
      <c r="K28" s="14" t="n"/>
      <c r="L28" s="75" t="n"/>
      <c r="M28" s="12" t="n"/>
      <c r="N28" s="76" t="n"/>
      <c r="O28" s="12" t="n"/>
      <c r="P28" s="12" t="n"/>
      <c r="Q28" s="12" t="n"/>
      <c r="R28" s="77" t="n"/>
      <c r="S28" s="1" t="n"/>
    </row>
    <row r="29">
      <c r="A29" s="74" t="n"/>
      <c r="B29" s="12" t="n"/>
      <c r="C29" s="20" t="n"/>
      <c r="D29" s="20" t="n"/>
      <c r="E29" s="20" t="n"/>
      <c r="F29" s="12" t="n"/>
      <c r="G29" s="12" t="n"/>
      <c r="H29" s="12" t="n"/>
      <c r="I29" s="12" t="n"/>
      <c r="J29" s="12" t="n"/>
      <c r="K29" s="38" t="n"/>
      <c r="L29" s="75" t="n"/>
      <c r="M29" s="12" t="n"/>
      <c r="N29" s="76" t="n"/>
      <c r="O29" s="12" t="n"/>
      <c r="P29" s="12" t="n"/>
      <c r="Q29" s="12" t="n"/>
      <c r="R29" s="77" t="n"/>
      <c r="S29" s="1" t="n"/>
    </row>
    <row r="30">
      <c r="A30" s="74" t="n"/>
      <c r="B30" s="12" t="n"/>
      <c r="C30" s="20" t="n"/>
      <c r="D30" s="20" t="n"/>
      <c r="E30" s="20" t="n"/>
      <c r="F30" s="12" t="n"/>
      <c r="G30" s="12" t="n"/>
      <c r="H30" s="12" t="n"/>
      <c r="I30" s="12" t="n"/>
      <c r="J30" s="12" t="n"/>
      <c r="K30" s="38" t="n"/>
      <c r="L30" s="75" t="n"/>
      <c r="M30" s="12" t="n"/>
      <c r="N30" s="76" t="n"/>
      <c r="O30" s="12" t="n"/>
      <c r="P30" s="12" t="n"/>
      <c r="Q30" s="12" t="n"/>
      <c r="R30" s="77" t="n"/>
      <c r="S30" s="1" t="n"/>
    </row>
    <row r="31">
      <c r="A31" s="74" t="n"/>
      <c r="B31" s="12" t="n"/>
      <c r="C31" s="20" t="n"/>
      <c r="D31" s="20" t="n"/>
      <c r="E31" s="20" t="n"/>
      <c r="F31" s="12" t="n"/>
      <c r="G31" s="12" t="n"/>
      <c r="H31" s="12" t="n"/>
      <c r="I31" s="12" t="n"/>
      <c r="J31" s="12" t="n"/>
      <c r="K31" s="38" t="n"/>
      <c r="L31" s="75" t="n"/>
      <c r="M31" s="12" t="n"/>
      <c r="N31" s="76" t="n"/>
      <c r="O31" s="12" t="n"/>
      <c r="P31" s="12" t="n"/>
      <c r="Q31" s="12" t="n"/>
      <c r="R31" s="77" t="n"/>
      <c r="S31" s="1" t="n"/>
    </row>
    <row r="32">
      <c r="A32" s="74" t="n"/>
      <c r="B32" s="12" t="n"/>
      <c r="C32" s="20" t="n"/>
      <c r="D32" s="20" t="n"/>
      <c r="E32" s="20" t="n"/>
      <c r="F32" s="12" t="n"/>
      <c r="G32" s="12" t="n"/>
      <c r="H32" s="12" t="n"/>
      <c r="I32" s="59" t="n"/>
      <c r="J32" s="1" t="n"/>
      <c r="K32" s="14" t="n"/>
      <c r="L32" s="75" t="n"/>
      <c r="M32" s="12" t="n"/>
      <c r="N32" s="76" t="n"/>
      <c r="O32" s="12" t="n"/>
      <c r="P32" s="12" t="n"/>
      <c r="Q32" s="12" t="n"/>
      <c r="R32" s="77" t="n"/>
      <c r="S32" s="1" t="n"/>
    </row>
    <row r="33">
      <c r="A33" s="74" t="n"/>
      <c r="B33" s="12" t="n"/>
      <c r="C33" s="20" t="n"/>
      <c r="D33" s="20" t="n"/>
      <c r="E33" s="20" t="n"/>
      <c r="F33" s="12" t="n"/>
      <c r="G33" s="12" t="n"/>
      <c r="H33" s="12" t="n"/>
      <c r="I33" s="12" t="n"/>
      <c r="J33" s="12" t="n"/>
      <c r="K33" s="14" t="n"/>
      <c r="L33" s="75" t="n"/>
      <c r="M33" s="12" t="n"/>
      <c r="N33" s="76" t="n"/>
      <c r="O33" s="12" t="n"/>
      <c r="P33" s="12" t="n"/>
      <c r="Q33" s="12" t="n"/>
      <c r="R33" s="77" t="n"/>
      <c r="S33" s="1" t="n"/>
    </row>
    <row r="34">
      <c r="A34" s="74" t="n"/>
      <c r="B34" s="12" t="n"/>
      <c r="C34" s="20" t="n"/>
      <c r="D34" s="20" t="n"/>
      <c r="E34" s="20" t="n"/>
      <c r="F34" s="12" t="n"/>
      <c r="G34" s="12" t="n"/>
      <c r="H34" s="12" t="n"/>
      <c r="I34" s="12" t="n"/>
      <c r="J34" s="12" t="n"/>
      <c r="K34" s="14" t="n"/>
      <c r="L34" s="75" t="n"/>
      <c r="M34" s="12" t="n"/>
      <c r="N34" s="76" t="n"/>
      <c r="O34" s="12" t="n"/>
      <c r="P34" s="12" t="n"/>
      <c r="Q34" s="12" t="n"/>
      <c r="R34" s="77" t="n"/>
      <c r="S34" s="1" t="n"/>
    </row>
    <row r="35">
      <c r="A35" s="74" t="n"/>
      <c r="B35" s="12" t="n"/>
      <c r="C35" s="20" t="n"/>
      <c r="D35" s="20" t="n"/>
      <c r="E35" s="20" t="n"/>
      <c r="F35" s="12" t="n"/>
      <c r="G35" s="12" t="n"/>
      <c r="H35" s="12" t="n"/>
      <c r="I35" s="59" t="n"/>
      <c r="J35" s="1" t="n"/>
      <c r="K35" s="14" t="n"/>
      <c r="L35" s="75" t="n"/>
      <c r="M35" s="12" t="n"/>
      <c r="N35" s="76" t="n"/>
      <c r="O35" s="12" t="n"/>
      <c r="P35" s="12" t="n"/>
      <c r="Q35" s="12" t="n"/>
      <c r="R35" s="77" t="n"/>
      <c r="S35" s="1" t="n"/>
    </row>
    <row r="36">
      <c r="A36" s="74" t="n"/>
      <c r="B36" s="12" t="n"/>
      <c r="C36" s="20" t="n"/>
      <c r="D36" s="20" t="n"/>
      <c r="E36" s="20" t="n"/>
      <c r="F36" s="12" t="n"/>
      <c r="G36" s="12" t="n"/>
      <c r="H36" s="12" t="n"/>
      <c r="I36" s="1" t="n"/>
      <c r="J36" s="1" t="n"/>
      <c r="K36" s="14" t="n"/>
      <c r="L36" s="75" t="n"/>
      <c r="M36" s="12" t="n"/>
      <c r="N36" s="76" t="n"/>
      <c r="O36" s="12" t="n"/>
      <c r="P36" s="12" t="n"/>
      <c r="Q36" s="12" t="n"/>
      <c r="R36" s="77" t="n"/>
      <c r="S36" s="1" t="n"/>
    </row>
    <row r="37">
      <c r="A37" s="74" t="n"/>
      <c r="B37" s="12" t="n"/>
      <c r="C37" s="20" t="n"/>
      <c r="D37" s="20" t="n"/>
      <c r="E37" s="20" t="n"/>
      <c r="F37" s="12" t="n"/>
      <c r="G37" s="12" t="n"/>
      <c r="H37" s="12" t="n"/>
      <c r="I37" s="12" t="n"/>
      <c r="J37" s="12" t="n"/>
      <c r="K37" s="14" t="n"/>
      <c r="L37" s="75" t="n"/>
      <c r="M37" s="12" t="n"/>
      <c r="N37" s="76" t="n"/>
      <c r="O37" s="12" t="n"/>
      <c r="P37" s="12" t="n"/>
      <c r="Q37" s="12" t="n"/>
      <c r="R37" s="77" t="n"/>
      <c r="S37" s="1" t="n"/>
    </row>
    <row r="38">
      <c r="A38" s="74" t="n"/>
      <c r="B38" s="12" t="n"/>
      <c r="C38" s="20" t="n"/>
      <c r="D38" s="20" t="n"/>
      <c r="E38" s="20" t="n"/>
      <c r="F38" s="20" t="n"/>
      <c r="G38" s="20" t="n"/>
      <c r="H38" s="12" t="n"/>
      <c r="I38" s="12" t="n"/>
      <c r="J38" s="12" t="n"/>
      <c r="K38" s="14" t="n"/>
      <c r="L38" s="75" t="n"/>
      <c r="M38" s="12" t="n"/>
      <c r="N38" s="76" t="n"/>
      <c r="O38" s="12" t="n"/>
      <c r="P38" s="12" t="n"/>
      <c r="Q38" s="12" t="n"/>
      <c r="R38" s="77" t="n"/>
      <c r="S38" s="1" t="n"/>
    </row>
    <row r="39">
      <c r="A39" s="74" t="n"/>
      <c r="B39" s="12" t="n"/>
      <c r="C39" s="20" t="n"/>
      <c r="D39" s="20" t="n"/>
      <c r="E39" s="20" t="n"/>
      <c r="F39" s="12" t="n"/>
      <c r="G39" s="12" t="n"/>
      <c r="H39" s="12" t="n"/>
      <c r="I39" s="59" t="n"/>
      <c r="J39" s="1" t="n"/>
      <c r="K39" s="14" t="n"/>
      <c r="L39" s="75" t="n"/>
      <c r="M39" s="12" t="n"/>
      <c r="N39" s="76" t="n"/>
      <c r="O39" s="12" t="n"/>
      <c r="P39" s="12" t="n"/>
      <c r="Q39" s="12" t="n"/>
      <c r="R39" s="77" t="n"/>
      <c r="S39" s="1" t="n"/>
    </row>
    <row r="40">
      <c r="A40" s="74" t="n"/>
      <c r="B40" s="12" t="n"/>
      <c r="C40" s="20" t="n"/>
      <c r="D40" s="20" t="n"/>
      <c r="E40" s="20" t="n"/>
      <c r="F40" s="12" t="n"/>
      <c r="G40" s="12" t="n"/>
      <c r="H40" s="12" t="n"/>
      <c r="I40" s="59" t="n"/>
      <c r="J40" s="1" t="n"/>
      <c r="K40" s="14" t="n"/>
      <c r="L40" s="75" t="n"/>
      <c r="M40" s="12" t="n"/>
      <c r="N40" s="76" t="n"/>
      <c r="O40" s="12" t="n"/>
      <c r="P40" s="12" t="n"/>
      <c r="Q40" s="12" t="n"/>
      <c r="R40" s="77" t="n"/>
      <c r="S40" s="1" t="n"/>
    </row>
    <row r="41">
      <c r="A41" s="74" t="n"/>
      <c r="B41" s="12" t="n"/>
      <c r="C41" s="20" t="n"/>
      <c r="D41" s="20" t="n"/>
      <c r="E41" s="20" t="n"/>
      <c r="F41" s="12" t="n"/>
      <c r="G41" s="12" t="n"/>
      <c r="H41" s="12" t="n"/>
      <c r="I41" s="38" t="n"/>
      <c r="J41" s="39" t="n"/>
      <c r="K41" s="14" t="n"/>
      <c r="L41" s="75" t="n"/>
      <c r="M41" s="12" t="n"/>
      <c r="N41" s="76" t="n"/>
      <c r="O41" s="12" t="n"/>
      <c r="P41" s="12" t="n"/>
      <c r="Q41" s="12" t="n"/>
      <c r="R41" s="77" t="n"/>
      <c r="S41" s="1" t="n"/>
    </row>
    <row r="42">
      <c r="A42" s="74" t="n"/>
      <c r="B42" s="12" t="n"/>
      <c r="C42" s="20" t="n"/>
      <c r="D42" s="20" t="n"/>
      <c r="E42" s="20" t="n"/>
      <c r="F42" s="12" t="n"/>
      <c r="G42" s="12" t="n"/>
      <c r="H42" s="12" t="n"/>
      <c r="I42" s="12" t="n"/>
      <c r="J42" s="12" t="n"/>
      <c r="K42" s="14" t="n"/>
      <c r="L42" s="75" t="n"/>
      <c r="M42" s="12" t="n"/>
      <c r="N42" s="76" t="n"/>
      <c r="O42" s="12" t="n"/>
      <c r="P42" s="12" t="n"/>
      <c r="Q42" s="12" t="n"/>
      <c r="R42" s="77" t="n"/>
      <c r="S42" s="1" t="n"/>
    </row>
    <row r="43">
      <c r="A43" s="74" t="n"/>
      <c r="B43" s="12" t="n"/>
      <c r="C43" s="20" t="n"/>
      <c r="D43" s="20" t="n"/>
      <c r="E43" s="20" t="n"/>
      <c r="F43" s="12" t="n"/>
      <c r="G43" s="12" t="n"/>
      <c r="H43" s="12" t="n"/>
      <c r="I43" s="12" t="n"/>
      <c r="J43" s="12" t="n"/>
      <c r="K43" s="14" t="n"/>
      <c r="L43" s="75" t="n"/>
      <c r="M43" s="12" t="n"/>
      <c r="N43" s="76" t="n"/>
      <c r="O43" s="12" t="n"/>
      <c r="P43" s="12" t="n"/>
      <c r="Q43" s="12" t="n"/>
      <c r="R43" s="77" t="n"/>
      <c r="S43" s="1" t="n"/>
    </row>
    <row r="44">
      <c r="A44" s="74" t="n"/>
      <c r="B44" s="12" t="n"/>
      <c r="C44" s="20" t="n"/>
      <c r="D44" s="20" t="n"/>
      <c r="E44" s="20" t="n"/>
      <c r="F44" s="12" t="n"/>
      <c r="G44" s="12" t="n"/>
      <c r="H44" s="12" t="n"/>
      <c r="I44" s="12" t="n"/>
      <c r="J44" s="12" t="n"/>
      <c r="K44" s="14" t="n"/>
      <c r="L44" s="75" t="n"/>
      <c r="M44" s="12" t="n"/>
      <c r="N44" s="76" t="n"/>
      <c r="O44" s="12" t="n"/>
      <c r="P44" s="12" t="n"/>
      <c r="Q44" s="12" t="n"/>
      <c r="R44" s="77" t="n"/>
      <c r="S44" s="1" t="n"/>
    </row>
    <row r="45">
      <c r="A45" s="74" t="n"/>
      <c r="B45" s="12" t="n"/>
      <c r="C45" s="20" t="n"/>
      <c r="D45" s="20" t="n"/>
      <c r="E45" s="20" t="n"/>
      <c r="F45" s="12" t="n"/>
      <c r="G45" s="12" t="n"/>
      <c r="H45" s="12" t="n"/>
      <c r="I45" s="59" t="n"/>
      <c r="J45" s="1" t="n"/>
      <c r="K45" s="14" t="n"/>
      <c r="L45" s="75" t="n"/>
      <c r="M45" s="12" t="n"/>
      <c r="N45" s="76" t="n"/>
      <c r="O45" s="12" t="n"/>
      <c r="P45" s="12" t="n"/>
      <c r="Q45" s="12" t="n"/>
      <c r="R45" s="77" t="n"/>
      <c r="S45" s="1" t="n"/>
    </row>
    <row r="46">
      <c r="A46" s="74" t="n"/>
      <c r="B46" s="12" t="n"/>
      <c r="C46" s="20" t="n"/>
      <c r="D46" s="20" t="n"/>
      <c r="E46" s="20" t="n"/>
      <c r="F46" s="12" t="n"/>
      <c r="G46" s="12" t="n"/>
      <c r="H46" s="12" t="n"/>
      <c r="I46" s="12" t="n"/>
      <c r="J46" s="12" t="n"/>
      <c r="K46" s="14" t="n"/>
      <c r="L46" s="75" t="n"/>
      <c r="M46" s="12" t="n"/>
      <c r="N46" s="76" t="n"/>
      <c r="O46" s="12" t="n"/>
      <c r="P46" s="12" t="n"/>
      <c r="Q46" s="12" t="n"/>
      <c r="R46" s="77" t="n"/>
      <c r="S46" s="1" t="n"/>
    </row>
    <row r="47">
      <c r="A47" s="74" t="n"/>
      <c r="B47" s="12" t="n"/>
      <c r="C47" s="20" t="n"/>
      <c r="D47" s="20" t="n"/>
      <c r="E47" s="20" t="n"/>
      <c r="F47" s="12" t="n"/>
      <c r="G47" s="12" t="n"/>
      <c r="H47" s="12" t="n"/>
      <c r="I47" s="12" t="n"/>
      <c r="J47" s="12" t="n"/>
      <c r="K47" s="14" t="n"/>
      <c r="L47" s="75" t="n"/>
      <c r="M47" s="12" t="n"/>
      <c r="N47" s="76" t="n"/>
      <c r="O47" s="12" t="n"/>
      <c r="P47" s="12" t="n"/>
      <c r="Q47" s="12" t="n"/>
      <c r="R47" s="77" t="n"/>
      <c r="S47" s="1" t="n"/>
    </row>
    <row r="48">
      <c r="A48" s="74" t="n"/>
      <c r="B48" s="12" t="n"/>
      <c r="C48" s="20" t="n"/>
      <c r="D48" s="20" t="n"/>
      <c r="E48" s="20" t="n"/>
      <c r="F48" s="12" t="n"/>
      <c r="G48" s="12" t="n"/>
      <c r="H48" s="12" t="n"/>
      <c r="I48" s="38" t="n"/>
      <c r="J48" s="39" t="n"/>
      <c r="K48" s="14" t="n"/>
      <c r="L48" s="75" t="n"/>
      <c r="M48" s="12" t="n"/>
      <c r="N48" s="76" t="n"/>
      <c r="O48" s="12" t="n"/>
      <c r="P48" s="12" t="n"/>
      <c r="Q48" s="12" t="n"/>
      <c r="R48" s="77" t="n"/>
      <c r="S48" s="1" t="n"/>
    </row>
    <row r="49">
      <c r="A49" s="74" t="n"/>
      <c r="B49" s="12" t="n"/>
      <c r="C49" s="20" t="n"/>
      <c r="D49" s="20" t="n"/>
      <c r="E49" s="20" t="n"/>
      <c r="F49" s="12" t="n"/>
      <c r="G49" s="12" t="n"/>
      <c r="H49" s="12" t="n"/>
      <c r="I49" s="59" t="n"/>
      <c r="J49" s="1" t="n"/>
      <c r="K49" s="14" t="n"/>
      <c r="L49" s="75" t="n"/>
      <c r="M49" s="12" t="n"/>
      <c r="N49" s="76" t="n"/>
      <c r="O49" s="12" t="n"/>
      <c r="P49" s="12" t="n"/>
      <c r="Q49" s="12" t="n"/>
      <c r="R49" s="77" t="n"/>
      <c r="S49" s="1" t="n"/>
    </row>
    <row r="50">
      <c r="A50" s="74" t="n"/>
      <c r="B50" s="12" t="n"/>
      <c r="C50" s="20" t="n"/>
      <c r="D50" s="20" t="n"/>
      <c r="E50" s="20" t="n"/>
      <c r="F50" s="12" t="n"/>
      <c r="G50" s="12" t="n"/>
      <c r="H50" s="12" t="n"/>
      <c r="I50" s="59" t="n"/>
      <c r="J50" s="1" t="n"/>
      <c r="K50" s="14" t="n"/>
      <c r="L50" s="75" t="n"/>
      <c r="M50" s="12" t="n"/>
      <c r="N50" s="76" t="n"/>
      <c r="O50" s="12" t="n"/>
      <c r="P50" s="12" t="n"/>
      <c r="Q50" s="12" t="n"/>
      <c r="R50" s="77" t="n"/>
      <c r="S50" s="1" t="n"/>
    </row>
    <row r="51">
      <c r="A51" s="74" t="n"/>
      <c r="B51" s="12" t="n"/>
      <c r="C51" s="20" t="n"/>
      <c r="D51" s="20" t="n"/>
      <c r="E51" s="20" t="n"/>
      <c r="F51" s="12" t="n"/>
      <c r="G51" s="12" t="n"/>
      <c r="H51" s="12" t="n"/>
      <c r="I51" s="12" t="n"/>
      <c r="J51" s="12" t="n"/>
      <c r="K51" s="14" t="n"/>
      <c r="L51" s="75" t="n"/>
      <c r="M51" s="12" t="n"/>
      <c r="N51" s="76" t="n"/>
      <c r="O51" s="12" t="n"/>
      <c r="P51" s="12" t="n"/>
      <c r="Q51" s="12" t="n"/>
      <c r="R51" s="77" t="n"/>
      <c r="S51" s="1" t="n"/>
    </row>
    <row r="52">
      <c r="A52" s="74" t="n"/>
      <c r="B52" s="12" t="n"/>
      <c r="C52" s="20" t="n"/>
      <c r="D52" s="20" t="n"/>
      <c r="E52" s="20" t="n"/>
      <c r="F52" s="12" t="n"/>
      <c r="G52" s="12" t="n"/>
      <c r="H52" s="12" t="n"/>
      <c r="I52" s="12" t="n"/>
      <c r="J52" s="12" t="n"/>
      <c r="K52" s="14" t="n"/>
      <c r="L52" s="75" t="n"/>
      <c r="M52" s="12" t="n"/>
      <c r="N52" s="76" t="n"/>
      <c r="O52" s="12" t="n"/>
      <c r="P52" s="12" t="n"/>
      <c r="Q52" s="12" t="n"/>
      <c r="R52" s="77" t="n"/>
      <c r="S52" s="1" t="n"/>
    </row>
    <row r="53">
      <c r="A53" s="74" t="n"/>
      <c r="B53" s="12" t="n"/>
      <c r="C53" s="20" t="n"/>
      <c r="D53" s="20" t="n"/>
      <c r="E53" s="20" t="n"/>
      <c r="F53" s="12" t="n"/>
      <c r="G53" s="12" t="n"/>
      <c r="H53" s="12" t="n"/>
      <c r="I53" s="59" t="n"/>
      <c r="J53" s="1" t="n"/>
      <c r="K53" s="14" t="n"/>
      <c r="L53" s="75" t="n"/>
      <c r="M53" s="12" t="n"/>
      <c r="N53" s="76" t="n"/>
      <c r="O53" s="12" t="n"/>
      <c r="P53" s="12" t="n"/>
      <c r="Q53" s="12" t="n"/>
      <c r="R53" s="77" t="n"/>
      <c r="S53" s="1" t="n"/>
    </row>
    <row r="54">
      <c r="A54" s="74" t="n"/>
      <c r="B54" s="12" t="n"/>
      <c r="C54" s="20" t="n"/>
      <c r="D54" s="20" t="n"/>
      <c r="E54" s="20" t="n"/>
      <c r="F54" s="12" t="n"/>
      <c r="G54" s="12" t="n"/>
      <c r="H54" s="12" t="n"/>
      <c r="I54" s="59" t="n"/>
      <c r="J54" s="1" t="n"/>
      <c r="K54" s="14" t="n"/>
      <c r="L54" s="75" t="n"/>
      <c r="M54" s="12" t="n"/>
      <c r="N54" s="76" t="n"/>
      <c r="O54" s="12" t="n"/>
      <c r="P54" s="12" t="n"/>
      <c r="Q54" s="12" t="n"/>
      <c r="R54" s="77" t="n"/>
      <c r="S54" s="1" t="n"/>
    </row>
    <row r="55">
      <c r="A55" s="74" t="n"/>
      <c r="B55" s="12" t="n"/>
      <c r="C55" s="20" t="n"/>
      <c r="D55" s="20" t="n"/>
      <c r="E55" s="20" t="n"/>
      <c r="F55" s="12" t="n"/>
      <c r="G55" s="12" t="n"/>
      <c r="H55" s="12" t="n"/>
      <c r="I55" s="59" t="n"/>
      <c r="J55" s="1" t="n"/>
      <c r="K55" s="14" t="n"/>
      <c r="L55" s="75" t="n"/>
      <c r="M55" s="12" t="n"/>
      <c r="N55" s="76" t="n"/>
      <c r="O55" s="12" t="n"/>
      <c r="P55" s="12" t="n"/>
      <c r="Q55" s="12" t="n"/>
      <c r="R55" s="77" t="n"/>
      <c r="S55" s="1" t="n"/>
    </row>
    <row r="56">
      <c r="A56" s="74" t="n"/>
      <c r="B56" s="12" t="n"/>
      <c r="C56" s="20" t="n"/>
      <c r="D56" s="20" t="n"/>
      <c r="E56" s="20" t="n"/>
      <c r="F56" s="12" t="n"/>
      <c r="G56" s="12" t="n"/>
      <c r="H56" s="12" t="n"/>
      <c r="I56" s="12" t="n"/>
      <c r="J56" s="12" t="n"/>
      <c r="K56" s="14" t="n"/>
      <c r="L56" s="75" t="n"/>
      <c r="M56" s="12" t="n"/>
      <c r="N56" s="76" t="n"/>
      <c r="O56" s="12" t="n"/>
      <c r="P56" s="12" t="n"/>
      <c r="Q56" s="12" t="n"/>
      <c r="R56" s="77" t="n"/>
      <c r="S56" s="1" t="n"/>
    </row>
    <row r="57">
      <c r="A57" s="74" t="n"/>
      <c r="B57" s="12" t="n"/>
      <c r="C57" s="20" t="n"/>
      <c r="D57" s="20" t="n"/>
      <c r="E57" s="20" t="n"/>
      <c r="F57" s="12" t="n"/>
      <c r="G57" s="12" t="n"/>
      <c r="H57" s="12" t="n"/>
      <c r="I57" s="59" t="n"/>
      <c r="J57" s="1" t="n"/>
      <c r="K57" s="14" t="n"/>
      <c r="L57" s="75" t="n"/>
      <c r="M57" s="12" t="n"/>
      <c r="N57" s="76" t="n"/>
      <c r="O57" s="12" t="n"/>
      <c r="P57" s="12" t="n"/>
      <c r="Q57" s="12" t="n"/>
      <c r="R57" s="77" t="n"/>
      <c r="S57" s="1" t="n"/>
    </row>
    <row r="58">
      <c r="A58" s="74" t="n"/>
      <c r="B58" s="12" t="n"/>
      <c r="C58" s="20" t="n"/>
      <c r="D58" s="20" t="n"/>
      <c r="E58" s="20" t="n"/>
      <c r="F58" s="12" t="n"/>
      <c r="G58" s="12" t="n"/>
      <c r="H58" s="12" t="n"/>
      <c r="I58" s="59" t="n"/>
      <c r="J58" s="1" t="n"/>
      <c r="K58" s="14" t="n"/>
      <c r="L58" s="75" t="n"/>
      <c r="M58" s="12" t="n"/>
      <c r="N58" s="76" t="n"/>
      <c r="O58" s="12" t="n"/>
      <c r="P58" s="12" t="n"/>
      <c r="Q58" s="12" t="n"/>
      <c r="R58" s="77" t="n"/>
      <c r="S58" s="1" t="n"/>
    </row>
    <row r="59">
      <c r="A59" s="74" t="n"/>
      <c r="B59" s="12" t="n"/>
      <c r="C59" s="20" t="n"/>
      <c r="D59" s="20" t="n"/>
      <c r="E59" s="20" t="n"/>
      <c r="F59" s="12" t="n"/>
      <c r="G59" s="12" t="n"/>
      <c r="H59" s="12" t="n"/>
      <c r="I59" s="59" t="n"/>
      <c r="J59" s="1" t="n"/>
      <c r="K59" s="14" t="n"/>
      <c r="L59" s="75" t="n"/>
      <c r="M59" s="12" t="n"/>
      <c r="N59" s="76" t="n"/>
      <c r="O59" s="12" t="n"/>
      <c r="P59" s="12" t="n"/>
      <c r="Q59" s="12" t="n"/>
      <c r="R59" s="77" t="n"/>
      <c r="S59" s="1" t="n"/>
    </row>
    <row r="60">
      <c r="A60" s="74" t="n"/>
      <c r="B60" s="12" t="n"/>
      <c r="C60" s="20" t="n"/>
      <c r="D60" s="20" t="n"/>
      <c r="E60" s="20" t="n"/>
      <c r="F60" s="12" t="n"/>
      <c r="G60" s="12" t="n"/>
      <c r="H60" s="12" t="n"/>
      <c r="I60" s="59" t="n"/>
      <c r="J60" s="1" t="n"/>
      <c r="K60" s="14" t="n"/>
      <c r="L60" s="75" t="n"/>
      <c r="M60" s="12" t="n"/>
      <c r="N60" s="76" t="n"/>
      <c r="O60" s="12" t="n"/>
      <c r="P60" s="12" t="n"/>
      <c r="Q60" s="12" t="n"/>
      <c r="R60" s="77" t="n"/>
      <c r="S60" s="1" t="n"/>
    </row>
    <row r="61">
      <c r="A61" s="74" t="n"/>
      <c r="B61" s="12" t="n"/>
      <c r="C61" s="20" t="n"/>
      <c r="D61" s="20" t="n"/>
      <c r="E61" s="20" t="n"/>
      <c r="F61" s="12" t="n"/>
      <c r="G61" s="12" t="n"/>
      <c r="H61" s="12" t="n"/>
      <c r="I61" s="59" t="n"/>
      <c r="J61" s="1" t="n"/>
      <c r="K61" s="14" t="n"/>
      <c r="L61" s="75" t="n"/>
      <c r="M61" s="12" t="n"/>
      <c r="N61" s="76" t="n"/>
      <c r="O61" s="12" t="n"/>
      <c r="P61" s="12" t="n"/>
      <c r="Q61" s="12" t="n"/>
      <c r="R61" s="77" t="n"/>
      <c r="S61" s="1" t="n"/>
    </row>
    <row r="62">
      <c r="A62" s="74" t="n"/>
      <c r="B62" s="12" t="n"/>
      <c r="C62" s="20" t="n"/>
      <c r="D62" s="20" t="n"/>
      <c r="E62" s="20" t="n"/>
      <c r="F62" s="12" t="n"/>
      <c r="G62" s="12" t="n"/>
      <c r="H62" s="12" t="n"/>
      <c r="I62" s="59" t="n"/>
      <c r="J62" s="1" t="n"/>
      <c r="K62" s="14" t="n"/>
      <c r="L62" s="75" t="n"/>
      <c r="M62" s="12" t="n"/>
      <c r="N62" s="76" t="n"/>
      <c r="O62" s="12" t="n"/>
      <c r="P62" s="12" t="n"/>
      <c r="Q62" s="12" t="n"/>
      <c r="R62" s="77" t="n"/>
      <c r="S62" s="1" t="n"/>
    </row>
    <row r="63">
      <c r="A63" s="74" t="n"/>
      <c r="B63" s="12" t="n"/>
      <c r="C63" s="20" t="n"/>
      <c r="D63" s="20" t="n"/>
      <c r="E63" s="20" t="n"/>
      <c r="F63" s="12" t="n"/>
      <c r="G63" s="12" t="n"/>
      <c r="H63" s="12" t="n"/>
      <c r="I63" s="59" t="n"/>
      <c r="J63" s="1" t="n"/>
      <c r="K63" s="14" t="n"/>
      <c r="L63" s="75" t="n"/>
      <c r="M63" s="12" t="n"/>
      <c r="N63" s="76" t="n"/>
      <c r="O63" s="12" t="n"/>
      <c r="P63" s="12" t="n"/>
      <c r="Q63" s="12" t="n"/>
      <c r="R63" s="77" t="n"/>
      <c r="S63" s="1" t="n"/>
    </row>
    <row r="64">
      <c r="A64" s="74" t="n"/>
      <c r="B64" s="12" t="n"/>
      <c r="C64" s="20" t="n"/>
      <c r="D64" s="20" t="n"/>
      <c r="E64" s="20" t="n"/>
      <c r="F64" s="12" t="n"/>
      <c r="G64" s="12" t="n"/>
      <c r="H64" s="12" t="n"/>
      <c r="I64" s="59" t="n"/>
      <c r="J64" s="1" t="n"/>
      <c r="K64" s="14" t="n"/>
      <c r="L64" s="75" t="n"/>
      <c r="M64" s="12" t="n"/>
      <c r="N64" s="76" t="n"/>
      <c r="O64" s="12" t="n"/>
      <c r="P64" s="12" t="n"/>
      <c r="Q64" s="12" t="n"/>
      <c r="R64" s="77" t="n"/>
      <c r="S64" s="1" t="n"/>
    </row>
    <row r="65">
      <c r="A65" s="74" t="n"/>
      <c r="B65" s="12" t="n"/>
      <c r="C65" s="20" t="n"/>
      <c r="D65" s="20" t="n"/>
      <c r="E65" s="20" t="n"/>
      <c r="F65" s="12" t="n"/>
      <c r="G65" s="12" t="n"/>
      <c r="H65" s="12" t="n"/>
      <c r="I65" s="38" t="n"/>
      <c r="J65" s="39" t="n"/>
      <c r="K65" s="14" t="n"/>
      <c r="L65" s="75" t="n"/>
      <c r="M65" s="12" t="n"/>
      <c r="N65" s="76" t="n"/>
      <c r="O65" s="12" t="n"/>
      <c r="P65" s="12" t="n"/>
      <c r="Q65" s="12" t="n"/>
      <c r="R65" s="77" t="n"/>
      <c r="S65" s="1" t="n"/>
    </row>
    <row r="66">
      <c r="A66" s="74" t="n"/>
      <c r="B66" s="12" t="n"/>
      <c r="C66" s="20" t="n"/>
      <c r="D66" s="20" t="n"/>
      <c r="E66" s="20" t="n"/>
      <c r="F66" s="12" t="n"/>
      <c r="G66" s="12" t="n"/>
      <c r="H66" s="12" t="n"/>
      <c r="I66" s="59" t="n"/>
      <c r="J66" s="1" t="n"/>
      <c r="K66" s="14" t="n"/>
      <c r="L66" s="75" t="n"/>
      <c r="M66" s="12" t="n"/>
      <c r="N66" s="76" t="n"/>
      <c r="O66" s="12" t="n"/>
      <c r="P66" s="12" t="n"/>
      <c r="Q66" s="12" t="n"/>
      <c r="R66" s="77" t="n"/>
      <c r="S66" s="1" t="n"/>
    </row>
    <row r="67">
      <c r="A67" s="74" t="n"/>
      <c r="B67" s="12" t="n"/>
      <c r="C67" s="20" t="n"/>
      <c r="D67" s="20" t="n"/>
      <c r="E67" s="20" t="n"/>
      <c r="F67" s="12" t="n"/>
      <c r="G67" s="12" t="n"/>
      <c r="H67" s="12" t="n"/>
      <c r="I67" s="12" t="n"/>
      <c r="J67" s="12" t="n"/>
      <c r="K67" s="14" t="n"/>
      <c r="L67" s="75" t="n"/>
      <c r="M67" s="12" t="n"/>
      <c r="N67" s="76" t="n"/>
      <c r="O67" s="12" t="n"/>
      <c r="P67" s="12" t="n"/>
      <c r="Q67" s="12" t="n"/>
      <c r="R67" s="77" t="n"/>
      <c r="S67" s="1" t="n"/>
    </row>
    <row r="68">
      <c r="A68" s="74" t="n"/>
      <c r="B68" s="12" t="n"/>
      <c r="C68" s="20" t="n"/>
      <c r="D68" s="20" t="n"/>
      <c r="E68" s="20" t="n"/>
      <c r="F68" s="12" t="n"/>
      <c r="G68" s="12" t="n"/>
      <c r="H68" s="12" t="n"/>
      <c r="I68" s="38" t="n"/>
      <c r="J68" s="39" t="n"/>
      <c r="K68" s="14" t="n"/>
      <c r="L68" s="75" t="n"/>
      <c r="M68" s="12" t="n"/>
      <c r="N68" s="76" t="n"/>
      <c r="O68" s="12" t="n"/>
      <c r="P68" s="12" t="n"/>
      <c r="Q68" s="12" t="n"/>
      <c r="R68" s="77" t="n"/>
      <c r="S68" s="1" t="n"/>
    </row>
    <row r="69">
      <c r="A69" s="74" t="n"/>
      <c r="B69" s="12" t="n"/>
      <c r="C69" s="20" t="n"/>
      <c r="D69" s="20" t="n"/>
      <c r="E69" s="20" t="n"/>
      <c r="F69" s="12" t="n"/>
      <c r="G69" s="12" t="n"/>
      <c r="H69" s="12" t="n"/>
      <c r="I69" s="59" t="n"/>
      <c r="J69" s="1" t="n"/>
      <c r="K69" s="14" t="n"/>
      <c r="L69" s="75" t="n"/>
      <c r="M69" s="12" t="n"/>
      <c r="N69" s="76" t="n"/>
      <c r="O69" s="12" t="n"/>
      <c r="P69" s="12" t="n"/>
      <c r="Q69" s="12" t="n"/>
      <c r="R69" s="77" t="n"/>
      <c r="S69" s="1" t="n"/>
    </row>
    <row r="70">
      <c r="A70" s="74" t="n"/>
      <c r="B70" s="12" t="n"/>
      <c r="C70" s="20" t="n"/>
      <c r="D70" s="20" t="n"/>
      <c r="E70" s="20" t="n"/>
      <c r="F70" s="12" t="n"/>
      <c r="G70" s="12" t="n"/>
      <c r="H70" s="12" t="n"/>
      <c r="I70" s="12" t="n"/>
      <c r="J70" s="12" t="n"/>
      <c r="K70" s="14" t="n"/>
      <c r="L70" s="75" t="n"/>
      <c r="M70" s="12" t="n"/>
      <c r="N70" s="76" t="n"/>
      <c r="O70" s="12" t="n"/>
      <c r="P70" s="12" t="n"/>
      <c r="Q70" s="12" t="n"/>
      <c r="R70" s="77" t="n"/>
      <c r="S70" s="1" t="n"/>
    </row>
    <row r="71">
      <c r="A71" s="74" t="n"/>
      <c r="B71" s="12" t="n"/>
      <c r="C71" s="20" t="n"/>
      <c r="D71" s="20" t="n"/>
      <c r="E71" s="20" t="n"/>
      <c r="F71" s="12" t="n"/>
      <c r="G71" s="12" t="n"/>
      <c r="H71" s="12" t="n"/>
      <c r="I71" s="38" t="n"/>
      <c r="J71" s="39" t="n"/>
      <c r="K71" s="14" t="n"/>
      <c r="L71" s="75" t="n"/>
      <c r="M71" s="12" t="n"/>
      <c r="N71" s="76" t="n"/>
      <c r="O71" s="12" t="n"/>
      <c r="P71" s="12" t="n"/>
      <c r="Q71" s="12" t="n"/>
      <c r="R71" s="77" t="n"/>
      <c r="S71" s="1" t="n"/>
    </row>
    <row r="72">
      <c r="A72" s="74" t="n"/>
      <c r="B72" s="12" t="n"/>
      <c r="C72" s="20" t="n"/>
      <c r="D72" s="20" t="n"/>
      <c r="E72" s="20" t="n"/>
      <c r="F72" s="12" t="n"/>
      <c r="G72" s="12" t="n"/>
      <c r="H72" s="12" t="n"/>
      <c r="I72" s="38" t="n"/>
      <c r="J72" s="39" t="n"/>
      <c r="K72" s="14" t="n"/>
      <c r="L72" s="75" t="n"/>
      <c r="M72" s="12" t="n"/>
      <c r="N72" s="76" t="n"/>
      <c r="O72" s="12" t="n"/>
      <c r="P72" s="12" t="n"/>
      <c r="Q72" s="12" t="n"/>
      <c r="R72" s="77" t="n"/>
      <c r="S72" s="1" t="n"/>
      <c r="T72" s="1" t="n"/>
    </row>
    <row r="73">
      <c r="A73" s="74" t="n"/>
      <c r="B73" s="12" t="n"/>
      <c r="C73" s="20" t="n"/>
      <c r="D73" s="20" t="n"/>
      <c r="E73" s="20" t="n"/>
      <c r="F73" s="12" t="n"/>
      <c r="G73" s="12" t="n"/>
      <c r="H73" s="12" t="n"/>
      <c r="I73" s="38" t="n"/>
      <c r="J73" s="39" t="n"/>
      <c r="K73" s="14" t="n"/>
      <c r="L73" s="75" t="n"/>
      <c r="M73" s="12" t="n"/>
      <c r="N73" s="76" t="n"/>
      <c r="O73" s="12" t="n"/>
      <c r="P73" s="12" t="n"/>
      <c r="Q73" s="12" t="n"/>
      <c r="R73" s="77" t="n"/>
      <c r="S73" s="1" t="n"/>
    </row>
    <row r="74">
      <c r="A74" s="74" t="n"/>
      <c r="B74" s="12" t="n"/>
      <c r="C74" s="20" t="n"/>
      <c r="D74" s="20" t="n"/>
      <c r="E74" s="20" t="n"/>
      <c r="F74" s="12" t="n"/>
      <c r="G74" s="12" t="n"/>
      <c r="H74" s="12" t="n"/>
      <c r="I74" s="59" t="n"/>
      <c r="J74" s="1" t="n"/>
      <c r="K74" s="14" t="n"/>
      <c r="L74" s="75" t="n"/>
      <c r="M74" s="12" t="n"/>
      <c r="N74" s="76" t="n"/>
      <c r="O74" s="12" t="n"/>
      <c r="P74" s="12" t="n"/>
      <c r="Q74" s="12" t="n"/>
      <c r="R74" s="77" t="n"/>
      <c r="S74" s="1" t="n"/>
    </row>
    <row r="75">
      <c r="A75" s="74" t="n"/>
      <c r="B75" s="12" t="n"/>
      <c r="C75" s="20" t="n"/>
      <c r="D75" s="20" t="n"/>
      <c r="E75" s="20" t="n"/>
      <c r="F75" s="12" t="n"/>
      <c r="G75" s="12" t="n"/>
      <c r="H75" s="12" t="n"/>
      <c r="I75" s="59" t="n"/>
      <c r="J75" s="1" t="n"/>
      <c r="K75" s="14" t="n"/>
      <c r="L75" s="75" t="n"/>
      <c r="M75" s="12" t="n"/>
      <c r="N75" s="76" t="n"/>
      <c r="O75" s="12" t="n"/>
      <c r="P75" s="12" t="n"/>
      <c r="Q75" s="12" t="n"/>
      <c r="R75" s="77" t="n"/>
      <c r="S75" s="1" t="n"/>
    </row>
    <row r="76">
      <c r="A76" s="74" t="n"/>
      <c r="B76" s="12" t="n"/>
      <c r="C76" s="20" t="n"/>
      <c r="D76" s="20" t="n"/>
      <c r="E76" s="20" t="n"/>
      <c r="F76" s="12" t="n"/>
      <c r="G76" s="12" t="n"/>
      <c r="H76" s="12" t="n"/>
      <c r="I76" s="59" t="n"/>
      <c r="J76" s="1" t="n"/>
      <c r="K76" s="14" t="n"/>
      <c r="L76" s="75" t="n"/>
      <c r="M76" s="12" t="n"/>
      <c r="N76" s="76" t="n"/>
      <c r="O76" s="12" t="n"/>
      <c r="P76" s="12" t="n"/>
      <c r="Q76" s="12" t="n"/>
      <c r="R76" s="77" t="n"/>
      <c r="S76" s="1" t="n"/>
    </row>
    <row r="77">
      <c r="A77" s="74" t="n"/>
      <c r="B77" s="12" t="n"/>
      <c r="C77" s="20" t="n"/>
      <c r="D77" s="20" t="n"/>
      <c r="E77" s="20" t="n"/>
      <c r="F77" s="12" t="n"/>
      <c r="G77" s="12" t="n"/>
      <c r="H77" s="12" t="n"/>
      <c r="I77" s="59" t="n"/>
      <c r="J77" s="1" t="n"/>
      <c r="K77" s="14" t="n"/>
      <c r="L77" s="75" t="n"/>
      <c r="M77" s="12" t="n"/>
      <c r="N77" s="76" t="n"/>
      <c r="O77" s="12" t="n"/>
      <c r="P77" s="12" t="n"/>
      <c r="Q77" s="12" t="n"/>
      <c r="R77" s="77" t="n"/>
      <c r="S77" s="1" t="n"/>
    </row>
    <row r="78">
      <c r="A78" s="74" t="n"/>
      <c r="B78" s="12" t="n"/>
      <c r="C78" s="20" t="n"/>
      <c r="D78" s="20" t="n"/>
      <c r="E78" s="20" t="n"/>
      <c r="F78" s="12" t="n"/>
      <c r="G78" s="12" t="n"/>
      <c r="H78" s="12" t="n"/>
      <c r="I78" s="59" t="n"/>
      <c r="J78" s="1" t="n"/>
      <c r="K78" s="14" t="n"/>
      <c r="L78" s="75" t="n"/>
      <c r="M78" s="12" t="n"/>
      <c r="N78" s="76" t="n"/>
      <c r="O78" s="12" t="n"/>
      <c r="P78" s="12" t="n"/>
      <c r="Q78" s="12" t="n"/>
      <c r="R78" s="77" t="n"/>
      <c r="S78" s="1" t="n"/>
    </row>
    <row r="79">
      <c r="A79" s="74" t="n"/>
      <c r="B79" s="12" t="n"/>
      <c r="C79" s="20" t="n"/>
      <c r="D79" s="20" t="n"/>
      <c r="E79" s="20" t="n"/>
      <c r="F79" s="12" t="n"/>
      <c r="G79" s="12" t="n"/>
      <c r="H79" s="12" t="n"/>
      <c r="I79" s="14" t="n"/>
      <c r="J79" s="12" t="n"/>
      <c r="K79" s="14" t="n"/>
      <c r="L79" s="75" t="n"/>
      <c r="M79" s="12" t="n"/>
      <c r="N79" s="76" t="n"/>
      <c r="O79" s="12" t="n"/>
      <c r="P79" s="12" t="n"/>
      <c r="Q79" s="12" t="n"/>
      <c r="R79" s="77" t="n"/>
      <c r="S79" s="1" t="n"/>
    </row>
    <row r="80">
      <c r="A80" s="74" t="n"/>
      <c r="B80" s="12" t="n"/>
      <c r="C80" s="20" t="n"/>
      <c r="D80" s="20" t="n"/>
      <c r="E80" s="20" t="n"/>
      <c r="F80" s="12" t="n"/>
      <c r="G80" s="12" t="n"/>
      <c r="H80" s="12" t="n"/>
      <c r="I80" s="14" t="n"/>
      <c r="J80" s="12" t="n"/>
      <c r="K80" s="14" t="n"/>
      <c r="L80" s="75" t="n"/>
      <c r="M80" s="12" t="n"/>
      <c r="N80" s="76" t="n"/>
      <c r="O80" s="12" t="n"/>
      <c r="P80" s="12" t="n"/>
      <c r="Q80" s="12" t="n"/>
      <c r="R80" s="77" t="n"/>
      <c r="S80" s="1" t="n"/>
    </row>
    <row r="81">
      <c r="A81" s="74" t="n"/>
      <c r="B81" s="12" t="n"/>
      <c r="C81" s="20" t="n"/>
      <c r="D81" s="20" t="n"/>
      <c r="E81" s="20" t="n"/>
      <c r="F81" s="12" t="n"/>
      <c r="G81" s="12" t="n"/>
      <c r="H81" s="12" t="n"/>
      <c r="I81" s="59" t="n"/>
      <c r="J81" s="1" t="n"/>
      <c r="K81" s="14" t="n"/>
      <c r="L81" s="75" t="n"/>
      <c r="M81" s="12" t="n"/>
      <c r="N81" s="76" t="n"/>
      <c r="O81" s="12" t="n"/>
      <c r="P81" s="12" t="n"/>
      <c r="Q81" s="12" t="n"/>
      <c r="R81" s="77" t="n"/>
      <c r="S81" s="1" t="n"/>
      <c r="T81" s="1" t="n"/>
    </row>
    <row r="82">
      <c r="A82" s="74" t="n"/>
      <c r="B82" s="12" t="n"/>
      <c r="C82" s="20" t="n"/>
      <c r="D82" s="20" t="n"/>
      <c r="E82" s="20" t="n"/>
      <c r="F82" s="12" t="n"/>
      <c r="G82" s="12" t="n"/>
      <c r="H82" s="12" t="n"/>
      <c r="I82" s="14" t="n"/>
      <c r="J82" s="12" t="n"/>
      <c r="K82" s="14" t="n"/>
      <c r="L82" s="75" t="n"/>
      <c r="M82" s="12" t="n"/>
      <c r="N82" s="76" t="n"/>
      <c r="O82" s="12" t="n"/>
      <c r="P82" s="12" t="n"/>
      <c r="Q82" s="12" t="n"/>
      <c r="R82" s="77" t="n"/>
      <c r="S82" s="1" t="n"/>
    </row>
    <row r="83">
      <c r="A83" s="74" t="n"/>
      <c r="B83" s="12" t="n"/>
      <c r="C83" s="20" t="n"/>
      <c r="D83" s="20" t="n"/>
      <c r="E83" s="20" t="n"/>
      <c r="F83" s="12" t="n"/>
      <c r="G83" s="12" t="n"/>
      <c r="H83" s="12" t="n"/>
      <c r="I83" s="14" t="n"/>
      <c r="J83" s="12" t="n"/>
      <c r="K83" s="14" t="n"/>
      <c r="L83" s="75" t="n"/>
      <c r="M83" s="12" t="n"/>
      <c r="N83" s="76" t="n"/>
      <c r="O83" s="12" t="n"/>
      <c r="P83" s="12" t="n"/>
      <c r="Q83" s="12" t="n"/>
      <c r="R83" s="77" t="n"/>
      <c r="S83" s="1" t="n"/>
    </row>
    <row r="84">
      <c r="A84" s="74" t="n"/>
      <c r="B84" s="12" t="n"/>
      <c r="C84" s="20" t="n"/>
      <c r="D84" s="20" t="n"/>
      <c r="E84" s="20" t="n"/>
      <c r="F84" s="12" t="n"/>
      <c r="G84" s="12" t="n"/>
      <c r="H84" s="12" t="n"/>
      <c r="I84" s="38" t="n"/>
      <c r="J84" s="39" t="n"/>
      <c r="K84" s="38" t="n"/>
      <c r="L84" s="75" t="n"/>
      <c r="M84" s="12" t="n"/>
      <c r="N84" s="76" t="n"/>
      <c r="O84" s="12" t="n"/>
      <c r="P84" s="12" t="n"/>
      <c r="Q84" s="12" t="n"/>
      <c r="R84" s="77" t="n"/>
      <c r="S84" s="1" t="n"/>
    </row>
    <row r="85">
      <c r="A85" s="74" t="n"/>
      <c r="B85" s="12" t="n"/>
      <c r="C85" s="20" t="n"/>
      <c r="D85" s="20" t="n"/>
      <c r="E85" s="20" t="n"/>
      <c r="F85" s="12" t="n"/>
      <c r="G85" s="12" t="n"/>
      <c r="H85" s="12" t="n"/>
      <c r="I85" s="38" t="n"/>
      <c r="J85" s="39" t="n"/>
      <c r="K85" s="14" t="n"/>
      <c r="L85" s="75" t="n"/>
      <c r="M85" s="12" t="n"/>
      <c r="N85" s="76" t="n"/>
      <c r="O85" s="12" t="n"/>
      <c r="P85" s="12" t="n"/>
      <c r="Q85" s="12" t="n"/>
      <c r="R85" s="77" t="n"/>
      <c r="S85" s="1" t="n"/>
    </row>
    <row r="86">
      <c r="A86" s="74" t="n"/>
      <c r="B86" s="12" t="n"/>
      <c r="C86" s="20" t="n"/>
      <c r="D86" s="20" t="n"/>
      <c r="E86" s="20" t="n"/>
      <c r="F86" s="12" t="n"/>
      <c r="G86" s="12" t="n"/>
      <c r="H86" s="12" t="n"/>
      <c r="I86" s="38" t="n"/>
      <c r="J86" s="39" t="n"/>
      <c r="K86" s="14" t="n"/>
      <c r="L86" s="75" t="n"/>
      <c r="M86" s="12" t="n"/>
      <c r="N86" s="76" t="n"/>
      <c r="O86" s="12" t="n"/>
      <c r="P86" s="12" t="n"/>
      <c r="Q86" s="12" t="n"/>
      <c r="R86" s="77" t="n"/>
      <c r="S86" s="1" t="n"/>
    </row>
    <row r="87">
      <c r="A87" s="74" t="n"/>
      <c r="B87" s="12" t="n"/>
      <c r="C87" s="20" t="n"/>
      <c r="D87" s="20" t="n"/>
      <c r="E87" s="20" t="n"/>
      <c r="F87" s="12" t="n"/>
      <c r="G87" s="12" t="n"/>
      <c r="H87" s="12" t="n"/>
      <c r="I87" s="59" t="n"/>
      <c r="J87" s="1" t="n"/>
      <c r="K87" s="14" t="n"/>
      <c r="L87" s="75" t="n"/>
      <c r="M87" s="12" t="n"/>
      <c r="N87" s="76" t="n"/>
      <c r="O87" s="12" t="n"/>
      <c r="P87" s="12" t="n"/>
      <c r="Q87" s="12" t="n"/>
      <c r="R87" s="77" t="n"/>
      <c r="S87" s="1" t="n"/>
    </row>
    <row r="88">
      <c r="A88" s="74" t="n"/>
      <c r="B88" s="12" t="n"/>
      <c r="C88" s="20" t="n"/>
      <c r="D88" s="20" t="n"/>
      <c r="E88" s="20" t="n"/>
      <c r="F88" s="12" t="n"/>
      <c r="G88" s="12" t="n"/>
      <c r="H88" s="12" t="n"/>
      <c r="I88" s="59" t="n"/>
      <c r="J88" s="1" t="n"/>
      <c r="K88" s="14" t="n"/>
      <c r="L88" s="75" t="n"/>
      <c r="M88" s="12" t="n"/>
      <c r="N88" s="76" t="n"/>
      <c r="O88" s="12" t="n"/>
      <c r="P88" s="12" t="n"/>
      <c r="Q88" s="12" t="n"/>
      <c r="R88" s="77" t="n"/>
      <c r="S88" s="1" t="n"/>
    </row>
    <row r="89">
      <c r="A89" s="74" t="n"/>
      <c r="B89" s="12" t="n"/>
      <c r="C89" s="20" t="n"/>
      <c r="D89" s="20" t="n"/>
      <c r="E89" s="20" t="n"/>
      <c r="F89" s="12" t="n"/>
      <c r="G89" s="12" t="n"/>
      <c r="H89" s="12" t="n"/>
      <c r="I89" s="59" t="n"/>
      <c r="J89" s="1" t="n"/>
      <c r="K89" s="14" t="n"/>
      <c r="L89" s="75" t="n"/>
      <c r="M89" s="12" t="n"/>
      <c r="N89" s="76" t="n"/>
      <c r="O89" s="12" t="n"/>
      <c r="P89" s="12" t="n"/>
      <c r="Q89" s="12" t="n"/>
      <c r="R89" s="77" t="n"/>
      <c r="S89" s="1" t="n"/>
    </row>
    <row r="90">
      <c r="A90" s="74" t="n"/>
      <c r="B90" s="12" t="n"/>
      <c r="C90" s="20" t="n"/>
      <c r="D90" s="20" t="n"/>
      <c r="E90" s="20" t="n"/>
      <c r="F90" s="12" t="n"/>
      <c r="G90" s="12" t="n"/>
      <c r="H90" s="12" t="n"/>
      <c r="I90" s="59" t="n"/>
      <c r="J90" s="1" t="n"/>
      <c r="K90" s="14" t="n"/>
      <c r="L90" s="75" t="n"/>
      <c r="M90" s="12" t="n"/>
      <c r="N90" s="76" t="n"/>
      <c r="O90" s="12" t="n"/>
      <c r="P90" s="12" t="n"/>
      <c r="Q90" s="12" t="n"/>
      <c r="R90" s="77" t="n"/>
      <c r="S90" s="1" t="n"/>
    </row>
    <row r="91">
      <c r="A91" s="74" t="n"/>
      <c r="B91" s="12" t="n"/>
      <c r="C91" s="20" t="n"/>
      <c r="D91" s="20" t="n"/>
      <c r="E91" s="20" t="n"/>
      <c r="F91" s="12" t="n"/>
      <c r="G91" s="12" t="n"/>
      <c r="H91" s="12" t="n"/>
      <c r="I91" s="59" t="n"/>
      <c r="J91" s="1" t="n"/>
      <c r="K91" s="14" t="n"/>
      <c r="L91" s="75" t="n"/>
      <c r="M91" s="12" t="n"/>
      <c r="N91" s="76" t="n"/>
      <c r="O91" s="12" t="n"/>
      <c r="P91" s="12" t="n"/>
      <c r="Q91" s="12" t="n"/>
      <c r="R91" s="77" t="n"/>
      <c r="S91" s="1" t="n"/>
    </row>
    <row r="92">
      <c r="A92" s="74" t="n"/>
      <c r="B92" s="12" t="n"/>
      <c r="C92" s="20" t="n"/>
      <c r="D92" s="41" t="n"/>
      <c r="E92" s="20" t="n"/>
      <c r="F92" s="12" t="n"/>
      <c r="G92" s="12" t="n"/>
      <c r="H92" s="12" t="n"/>
      <c r="I92" s="38" t="n"/>
      <c r="J92" s="39" t="n"/>
      <c r="K92" s="38" t="n"/>
      <c r="L92" s="75" t="n"/>
      <c r="M92" s="12" t="n"/>
      <c r="N92" s="76" t="n"/>
      <c r="O92" s="12" t="n"/>
      <c r="P92" s="12" t="n"/>
      <c r="Q92" s="12" t="n"/>
      <c r="R92" s="77" t="n"/>
      <c r="S92" s="1" t="n"/>
    </row>
    <row r="93">
      <c r="A93" s="74" t="n"/>
      <c r="B93" s="12" t="n"/>
      <c r="C93" s="20" t="n"/>
      <c r="D93" s="20" t="n"/>
      <c r="E93" s="20" t="n"/>
      <c r="F93" s="12" t="n"/>
      <c r="G93" s="12" t="n"/>
      <c r="H93" s="12" t="n"/>
      <c r="I93" s="59" t="n"/>
      <c r="J93" s="1" t="n"/>
      <c r="K93" s="14" t="n"/>
      <c r="L93" s="75" t="n"/>
      <c r="M93" s="12" t="n"/>
      <c r="N93" s="76" t="n"/>
      <c r="O93" s="12" t="n"/>
      <c r="P93" s="12" t="n"/>
      <c r="Q93" s="12" t="n"/>
      <c r="R93" s="77" t="n"/>
      <c r="S93" s="1" t="n"/>
    </row>
    <row r="94">
      <c r="A94" s="74" t="n"/>
      <c r="B94" s="12" t="n"/>
      <c r="C94" s="20" t="n"/>
      <c r="D94" s="20" t="n"/>
      <c r="E94" s="20" t="n"/>
      <c r="F94" s="12" t="n"/>
      <c r="G94" s="12" t="n"/>
      <c r="H94" s="12" t="n"/>
      <c r="I94" s="14" t="n"/>
      <c r="J94" s="12" t="n"/>
      <c r="K94" s="14" t="n"/>
      <c r="L94" s="75" t="n"/>
      <c r="M94" s="12" t="n"/>
      <c r="N94" s="76" t="n"/>
      <c r="O94" s="12" t="n"/>
      <c r="P94" s="12" t="n"/>
      <c r="Q94" s="12" t="n"/>
      <c r="R94" s="77" t="n"/>
      <c r="S94" s="1" t="n"/>
    </row>
    <row r="95">
      <c r="A95" s="74" t="n"/>
      <c r="B95" s="12" t="n"/>
      <c r="C95" s="20" t="n"/>
      <c r="D95" s="20" t="n"/>
      <c r="E95" s="20" t="n"/>
      <c r="F95" s="12" t="n"/>
      <c r="G95" s="12" t="n"/>
      <c r="H95" s="12" t="n"/>
      <c r="I95" s="38" t="n"/>
      <c r="J95" s="39" t="n"/>
      <c r="K95" s="14" t="n"/>
      <c r="L95" s="75" t="n"/>
      <c r="M95" s="12" t="n"/>
      <c r="N95" s="76" t="n"/>
      <c r="O95" s="12" t="n"/>
      <c r="P95" s="12" t="n"/>
      <c r="Q95" s="12" t="n"/>
      <c r="R95" s="77" t="n"/>
      <c r="S95" s="1" t="n"/>
    </row>
    <row r="96">
      <c r="A96" s="74" t="n"/>
      <c r="B96" s="12" t="n"/>
      <c r="C96" s="20" t="n"/>
      <c r="D96" s="20" t="n"/>
      <c r="E96" s="20" t="n"/>
      <c r="F96" s="12" t="n"/>
      <c r="G96" s="12" t="n"/>
      <c r="H96" s="12" t="n"/>
      <c r="I96" s="59" t="n"/>
      <c r="J96" s="1" t="n"/>
      <c r="K96" s="14" t="n"/>
      <c r="L96" s="75" t="n"/>
      <c r="M96" s="12" t="n"/>
      <c r="N96" s="76" t="n"/>
      <c r="O96" s="12" t="n"/>
      <c r="P96" s="12" t="n"/>
      <c r="Q96" s="12" t="n"/>
      <c r="R96" s="77" t="n"/>
      <c r="S96" s="1" t="n"/>
    </row>
    <row r="97">
      <c r="A97" s="74" t="n"/>
      <c r="B97" s="12" t="n"/>
      <c r="C97" s="20" t="n"/>
      <c r="D97" s="20" t="n"/>
      <c r="E97" s="20" t="n"/>
      <c r="F97" s="12" t="n"/>
      <c r="G97" s="12" t="n"/>
      <c r="H97" s="12" t="n"/>
      <c r="I97" s="59" t="n"/>
      <c r="J97" s="1" t="n"/>
      <c r="K97" s="14" t="n"/>
      <c r="L97" s="75" t="n"/>
      <c r="M97" s="12" t="n"/>
      <c r="N97" s="76" t="n"/>
      <c r="O97" s="12" t="n"/>
      <c r="P97" s="12" t="n"/>
      <c r="Q97" s="12" t="n"/>
      <c r="R97" s="77" t="n"/>
      <c r="S97" s="1" t="n"/>
    </row>
    <row r="98">
      <c r="A98" s="74" t="n"/>
      <c r="B98" s="12" t="n"/>
      <c r="C98" s="20" t="n"/>
      <c r="D98" s="20" t="n"/>
      <c r="E98" s="20" t="n"/>
      <c r="F98" s="12" t="n"/>
      <c r="G98" s="12" t="n"/>
      <c r="H98" s="12" t="n"/>
      <c r="I98" s="1" t="n"/>
      <c r="J98" s="1" t="n"/>
      <c r="K98" s="14" t="n"/>
      <c r="L98" s="75" t="n"/>
      <c r="M98" s="12" t="n"/>
      <c r="N98" s="76" t="n"/>
      <c r="O98" s="12" t="n"/>
      <c r="P98" s="12" t="n"/>
      <c r="Q98" s="12" t="n"/>
      <c r="R98" s="77" t="n"/>
      <c r="S98" s="1" t="n"/>
    </row>
    <row r="99">
      <c r="A99" s="74" t="n"/>
      <c r="B99" s="12" t="n"/>
      <c r="C99" s="20" t="n"/>
      <c r="D99" s="20" t="n"/>
      <c r="E99" s="20" t="n"/>
      <c r="F99" s="12" t="n"/>
      <c r="G99" s="12" t="n"/>
      <c r="H99" s="12" t="n"/>
      <c r="I99" s="59" t="n"/>
      <c r="J99" s="1" t="n"/>
      <c r="K99" s="14" t="n"/>
      <c r="L99" s="75" t="n"/>
      <c r="M99" s="12" t="n"/>
      <c r="N99" s="76" t="n"/>
      <c r="O99" s="12" t="n"/>
      <c r="P99" s="12" t="n"/>
      <c r="Q99" s="12" t="n"/>
      <c r="R99" s="77" t="n"/>
      <c r="S99" s="1" t="n"/>
    </row>
    <row r="100">
      <c r="A100" s="74" t="n"/>
      <c r="B100" s="12" t="n"/>
      <c r="C100" s="20" t="n"/>
      <c r="D100" s="20" t="n"/>
      <c r="E100" s="20" t="n"/>
      <c r="F100" s="12" t="n"/>
      <c r="G100" s="12" t="n"/>
      <c r="H100" s="12" t="n"/>
      <c r="I100" s="38" t="n"/>
      <c r="J100" s="39" t="n"/>
      <c r="K100" s="14" t="n"/>
      <c r="L100" s="75" t="n"/>
      <c r="M100" s="12" t="n"/>
      <c r="N100" s="76" t="n"/>
      <c r="O100" s="12" t="n"/>
      <c r="P100" s="12" t="n"/>
      <c r="Q100" s="12" t="n"/>
      <c r="R100" s="77" t="n"/>
      <c r="S100" s="1" t="n"/>
    </row>
    <row r="101">
      <c r="A101" s="74" t="n"/>
      <c r="B101" s="12" t="n"/>
      <c r="C101" s="20" t="n"/>
      <c r="D101" s="20" t="n"/>
      <c r="E101" s="20" t="n"/>
      <c r="F101" s="12" t="n"/>
      <c r="G101" s="12" t="n"/>
      <c r="H101" s="12" t="n"/>
      <c r="I101" s="38" t="n"/>
      <c r="J101" s="39" t="n"/>
      <c r="K101" s="38" t="n"/>
      <c r="L101" s="75" t="n"/>
      <c r="M101" s="12" t="n"/>
      <c r="N101" s="76" t="n"/>
      <c r="O101" s="12" t="n"/>
      <c r="P101" s="12" t="n"/>
      <c r="Q101" s="12" t="n"/>
      <c r="R101" s="77" t="n"/>
      <c r="S101" s="1" t="n"/>
    </row>
    <row r="102">
      <c r="A102" s="74" t="n"/>
      <c r="B102" s="12" t="n"/>
      <c r="C102" s="20" t="n"/>
      <c r="D102" s="20" t="n"/>
      <c r="E102" s="20" t="n"/>
      <c r="F102" s="12" t="n"/>
      <c r="G102" s="12" t="n"/>
      <c r="H102" s="12" t="n"/>
      <c r="I102" s="38" t="n"/>
      <c r="J102" s="39" t="n"/>
      <c r="K102" s="38" t="n"/>
      <c r="L102" s="75" t="n"/>
      <c r="M102" s="12" t="n"/>
      <c r="N102" s="76" t="n"/>
      <c r="O102" s="12" t="n"/>
      <c r="P102" s="12" t="n"/>
      <c r="Q102" s="12" t="n"/>
      <c r="R102" s="77" t="n"/>
      <c r="S102" s="1" t="n"/>
    </row>
    <row r="103">
      <c r="A103" s="74" t="n"/>
      <c r="B103" s="12" t="n"/>
      <c r="C103" s="20" t="n"/>
      <c r="D103" s="20" t="n"/>
      <c r="E103" s="20" t="n"/>
      <c r="F103" s="12" t="n"/>
      <c r="G103" s="12" t="n"/>
      <c r="H103" s="12" t="n"/>
      <c r="I103" s="38" t="n"/>
      <c r="J103" s="39" t="n"/>
      <c r="K103" s="38" t="n"/>
      <c r="L103" s="75" t="n"/>
      <c r="M103" s="12" t="n"/>
      <c r="N103" s="76" t="n"/>
      <c r="O103" s="12" t="n"/>
      <c r="P103" s="12" t="n"/>
      <c r="Q103" s="12" t="n"/>
      <c r="R103" s="77" t="n"/>
      <c r="S103" s="1" t="n"/>
    </row>
    <row r="104">
      <c r="A104" s="74" t="n"/>
      <c r="B104" s="12" t="n"/>
      <c r="C104" s="20" t="n"/>
      <c r="D104" s="20" t="n"/>
      <c r="E104" s="20" t="n"/>
      <c r="F104" s="12" t="n"/>
      <c r="G104" s="12" t="n"/>
      <c r="H104" s="12" t="n"/>
      <c r="I104" s="38" t="n"/>
      <c r="J104" s="39" t="n"/>
      <c r="K104" s="38" t="n"/>
      <c r="L104" s="75" t="n"/>
      <c r="M104" s="12" t="n"/>
      <c r="N104" s="76" t="n"/>
      <c r="O104" s="12" t="n"/>
      <c r="P104" s="12" t="n"/>
      <c r="Q104" s="12" t="n"/>
      <c r="R104" s="77" t="n"/>
      <c r="S104" s="1" t="n"/>
    </row>
    <row r="105">
      <c r="A105" s="74" t="n"/>
      <c r="B105" s="12" t="n"/>
      <c r="C105" s="20" t="n"/>
      <c r="D105" s="20" t="n"/>
      <c r="E105" s="20" t="n"/>
      <c r="F105" s="12" t="n"/>
      <c r="G105" s="12" t="n"/>
      <c r="H105" s="12" t="n"/>
      <c r="I105" s="38" t="n"/>
      <c r="J105" s="39" t="n"/>
      <c r="K105" s="38" t="n"/>
      <c r="L105" s="75" t="n"/>
      <c r="M105" s="12" t="n"/>
      <c r="N105" s="76" t="n"/>
      <c r="O105" s="12" t="n"/>
      <c r="P105" s="12" t="n"/>
      <c r="Q105" s="12" t="n"/>
      <c r="R105" s="77" t="n"/>
      <c r="S105" s="1" t="n"/>
    </row>
    <row r="106">
      <c r="A106" s="74" t="n"/>
      <c r="B106" s="12" t="n"/>
      <c r="C106" s="20" t="n"/>
      <c r="D106" s="20" t="n"/>
      <c r="E106" s="20" t="n"/>
      <c r="F106" s="12" t="n"/>
      <c r="G106" s="12" t="n"/>
      <c r="H106" s="12" t="n"/>
      <c r="I106" s="12" t="n"/>
      <c r="J106" s="12" t="n"/>
      <c r="K106" s="38" t="n"/>
      <c r="L106" s="75" t="n"/>
      <c r="M106" s="12" t="n"/>
      <c r="N106" s="76" t="n"/>
      <c r="O106" s="12" t="n"/>
      <c r="P106" s="12" t="n"/>
      <c r="Q106" s="12" t="n"/>
      <c r="R106" s="77" t="n"/>
      <c r="S106" s="1" t="n"/>
    </row>
    <row r="107">
      <c r="A107" s="74" t="n"/>
      <c r="B107" s="12" t="n"/>
      <c r="C107" s="20" t="n"/>
      <c r="D107" s="20" t="n"/>
      <c r="E107" s="20" t="n"/>
      <c r="F107" s="12" t="n"/>
      <c r="G107" s="12" t="n"/>
      <c r="H107" s="12" t="n"/>
      <c r="I107" s="38" t="n"/>
      <c r="J107" s="39" t="n"/>
      <c r="K107" s="38" t="n"/>
      <c r="L107" s="75" t="n"/>
      <c r="M107" s="12" t="n"/>
      <c r="N107" s="76" t="n"/>
      <c r="O107" s="12" t="n"/>
      <c r="P107" s="12" t="n"/>
      <c r="Q107" s="12" t="n"/>
      <c r="R107" s="77" t="n"/>
      <c r="S107" s="1" t="n"/>
    </row>
    <row r="108">
      <c r="A108" s="74" t="n"/>
      <c r="B108" s="12" t="n"/>
      <c r="C108" s="20" t="n"/>
      <c r="D108" s="20" t="n"/>
      <c r="E108" s="20" t="n"/>
      <c r="F108" s="12" t="n"/>
      <c r="G108" s="12" t="n"/>
      <c r="H108" s="12" t="n"/>
      <c r="I108" s="12" t="n"/>
      <c r="J108" s="12" t="n"/>
      <c r="K108" s="14" t="n"/>
      <c r="L108" s="75" t="n"/>
      <c r="M108" s="12" t="n"/>
      <c r="N108" s="76" t="n"/>
      <c r="O108" s="12" t="n"/>
      <c r="P108" s="12" t="n"/>
      <c r="Q108" s="12" t="n"/>
      <c r="R108" s="77" t="n"/>
      <c r="S108" s="1" t="n"/>
    </row>
    <row r="109">
      <c r="A109" s="74" t="n"/>
      <c r="B109" s="12" t="n"/>
      <c r="C109" s="20" t="n"/>
      <c r="D109" s="20" t="n"/>
      <c r="E109" s="20" t="n"/>
      <c r="F109" s="12" t="n"/>
      <c r="G109" s="12" t="n"/>
      <c r="H109" s="12" t="n"/>
      <c r="I109" s="14" t="n"/>
      <c r="J109" s="12" t="n"/>
      <c r="K109" s="14" t="n"/>
      <c r="L109" s="75" t="n"/>
      <c r="M109" s="12" t="n"/>
      <c r="N109" s="76" t="n"/>
      <c r="O109" s="12" t="n"/>
      <c r="P109" s="12" t="n"/>
      <c r="Q109" s="12" t="n"/>
      <c r="R109" s="77" t="n"/>
      <c r="S109" s="1" t="n"/>
    </row>
    <row r="110">
      <c r="A110" s="74" t="n"/>
      <c r="B110" s="12" t="n"/>
      <c r="C110" s="20" t="n"/>
      <c r="D110" s="20" t="n"/>
      <c r="E110" s="20" t="n"/>
      <c r="F110" s="12" t="n"/>
      <c r="G110" s="12" t="n"/>
      <c r="H110" s="12" t="n"/>
      <c r="I110" s="14" t="n"/>
      <c r="J110" s="12" t="n"/>
      <c r="K110" s="14" t="n"/>
      <c r="L110" s="75" t="n"/>
      <c r="M110" s="12" t="n"/>
      <c r="N110" s="76" t="n"/>
      <c r="O110" s="12" t="n"/>
      <c r="P110" s="12" t="n"/>
      <c r="Q110" s="12" t="n"/>
      <c r="R110" s="77" t="n"/>
      <c r="S110" s="1" t="n"/>
    </row>
    <row r="111">
      <c r="A111" s="74" t="n"/>
      <c r="B111" s="12" t="n"/>
      <c r="C111" s="20" t="n"/>
      <c r="D111" s="20" t="n"/>
      <c r="E111" s="20" t="n"/>
      <c r="F111" s="12" t="n"/>
      <c r="G111" s="12" t="n"/>
      <c r="H111" s="12" t="n"/>
      <c r="I111" s="59" t="n"/>
      <c r="J111" s="1" t="n"/>
      <c r="K111" s="14" t="n"/>
      <c r="L111" s="75" t="n"/>
      <c r="M111" s="12" t="n"/>
      <c r="N111" s="76" t="n"/>
      <c r="O111" s="12" t="n"/>
      <c r="P111" s="12" t="n"/>
      <c r="Q111" s="12" t="n"/>
      <c r="R111" s="77" t="n"/>
      <c r="S111" s="1" t="n"/>
    </row>
    <row r="112">
      <c r="A112" s="74" t="n"/>
      <c r="B112" s="12" t="n"/>
      <c r="C112" s="20" t="n"/>
      <c r="D112" s="20" t="n"/>
      <c r="E112" s="20" t="n"/>
      <c r="F112" s="12" t="n"/>
      <c r="G112" s="12" t="n"/>
      <c r="H112" s="12" t="n"/>
      <c r="I112" s="14" t="n"/>
      <c r="J112" s="12" t="n"/>
      <c r="K112" s="14" t="n"/>
      <c r="L112" s="75" t="n"/>
      <c r="M112" s="12" t="n"/>
      <c r="N112" s="76" t="n"/>
      <c r="O112" s="12" t="n"/>
      <c r="P112" s="12" t="n"/>
      <c r="Q112" s="12" t="n"/>
      <c r="R112" s="77" t="n"/>
      <c r="S112" s="1" t="n"/>
    </row>
    <row r="113">
      <c r="A113" s="74" t="n"/>
      <c r="B113" s="12" t="n"/>
      <c r="C113" s="20" t="n"/>
      <c r="D113" s="20" t="n"/>
      <c r="E113" s="20" t="n"/>
      <c r="F113" s="12" t="n"/>
      <c r="G113" s="12" t="n"/>
      <c r="H113" s="12" t="n"/>
      <c r="I113" s="14" t="n"/>
      <c r="J113" s="12" t="n"/>
      <c r="K113" s="14" t="n"/>
      <c r="L113" s="75" t="n"/>
      <c r="M113" s="12" t="n"/>
      <c r="N113" s="76" t="n"/>
      <c r="O113" s="12" t="n"/>
      <c r="P113" s="12" t="n"/>
      <c r="Q113" s="12" t="n"/>
      <c r="R113" s="77" t="n"/>
      <c r="S113" s="1" t="n"/>
    </row>
    <row r="114">
      <c r="A114" s="74" t="n"/>
      <c r="B114" s="12" t="n"/>
      <c r="C114" s="20" t="n"/>
      <c r="D114" s="20" t="n"/>
      <c r="E114" s="20" t="n"/>
      <c r="F114" s="12" t="n"/>
      <c r="G114" s="12" t="n"/>
      <c r="H114" s="12" t="n"/>
      <c r="I114" s="14" t="n"/>
      <c r="J114" s="12" t="n"/>
      <c r="K114" s="14" t="n"/>
      <c r="L114" s="75" t="n"/>
      <c r="M114" s="12" t="n"/>
      <c r="N114" s="76" t="n"/>
      <c r="O114" s="12" t="n"/>
      <c r="P114" s="12" t="n"/>
      <c r="Q114" s="12" t="n"/>
      <c r="R114" s="77" t="n"/>
      <c r="S114" s="1" t="n"/>
    </row>
    <row r="115">
      <c r="A115" s="74" t="n"/>
      <c r="B115" s="12" t="n"/>
      <c r="C115" s="20" t="n"/>
      <c r="D115" s="20" t="n"/>
      <c r="E115" s="20" t="n"/>
      <c r="F115" s="12" t="n"/>
      <c r="G115" s="12" t="n"/>
      <c r="H115" s="12" t="n"/>
      <c r="I115" s="14" t="n"/>
      <c r="J115" s="12" t="n"/>
      <c r="K115" s="14" t="n"/>
      <c r="L115" s="75" t="n"/>
      <c r="M115" s="12" t="n"/>
      <c r="N115" s="76" t="n"/>
      <c r="O115" s="12" t="n"/>
      <c r="P115" s="12" t="n"/>
      <c r="Q115" s="12" t="n"/>
      <c r="R115" s="77" t="n"/>
      <c r="S115" s="1" t="n"/>
    </row>
    <row r="116">
      <c r="A116" s="74" t="n"/>
      <c r="B116" s="12" t="n"/>
      <c r="C116" s="20" t="n"/>
      <c r="D116" s="20" t="n"/>
      <c r="E116" s="20" t="n"/>
      <c r="F116" s="12" t="n"/>
      <c r="G116" s="12" t="n"/>
      <c r="H116" s="12" t="n"/>
      <c r="I116" s="14" t="n"/>
      <c r="J116" s="12" t="n"/>
      <c r="K116" s="14" t="n"/>
      <c r="L116" s="75" t="n"/>
      <c r="M116" s="12" t="n"/>
      <c r="N116" s="76" t="n"/>
      <c r="O116" s="12" t="n"/>
      <c r="P116" s="12" t="n"/>
      <c r="Q116" s="12" t="n"/>
      <c r="R116" s="77" t="n"/>
      <c r="S116" s="1" t="n"/>
      <c r="T116" s="1" t="n"/>
    </row>
    <row r="117">
      <c r="A117" s="74" t="n"/>
      <c r="B117" s="12" t="n"/>
      <c r="C117" s="20" t="n"/>
      <c r="D117" s="20" t="n"/>
      <c r="E117" s="20" t="n"/>
      <c r="F117" s="12" t="n"/>
      <c r="G117" s="12" t="n"/>
      <c r="H117" s="12" t="n"/>
      <c r="I117" s="14" t="n"/>
      <c r="J117" s="12" t="n"/>
      <c r="K117" s="14" t="n"/>
      <c r="L117" s="75" t="n"/>
      <c r="M117" s="12" t="n"/>
      <c r="N117" s="76" t="n"/>
      <c r="O117" s="12" t="n"/>
      <c r="P117" s="12" t="n"/>
      <c r="Q117" s="12" t="n"/>
      <c r="R117" s="77" t="n"/>
      <c r="S117" s="1" t="n"/>
    </row>
    <row r="118">
      <c r="A118" s="74" t="n"/>
      <c r="B118" s="12" t="n"/>
      <c r="C118" s="20" t="n"/>
      <c r="D118" s="20" t="n"/>
      <c r="E118" s="20" t="n"/>
      <c r="F118" s="12" t="n"/>
      <c r="G118" s="12" t="n"/>
      <c r="H118" s="12" t="n"/>
      <c r="I118" s="12" t="n"/>
      <c r="J118" s="12" t="n"/>
      <c r="K118" s="14" t="n"/>
      <c r="L118" s="75" t="n"/>
      <c r="M118" s="12" t="n"/>
      <c r="N118" s="76" t="n"/>
      <c r="O118" s="12" t="n"/>
      <c r="P118" s="12" t="n"/>
      <c r="Q118" s="12" t="n"/>
      <c r="R118" s="77" t="n"/>
      <c r="S118" s="1" t="n"/>
    </row>
    <row r="119">
      <c r="A119" s="74" t="n"/>
      <c r="B119" s="12" t="n"/>
      <c r="C119" s="20" t="n"/>
      <c r="D119" s="20" t="n"/>
      <c r="E119" s="20" t="n"/>
      <c r="F119" s="12" t="n"/>
      <c r="G119" s="12" t="n"/>
      <c r="H119" s="12" t="n"/>
      <c r="I119" s="38" t="n"/>
      <c r="J119" s="39" t="n"/>
      <c r="K119" s="38" t="n"/>
      <c r="L119" s="75" t="n"/>
      <c r="M119" s="12" t="n"/>
      <c r="N119" s="76" t="n"/>
      <c r="O119" s="12" t="n"/>
      <c r="P119" s="12" t="n"/>
      <c r="Q119" s="12" t="n"/>
      <c r="R119" s="77" t="n"/>
      <c r="S119" s="1" t="n"/>
    </row>
    <row r="120">
      <c r="A120" s="74" t="n"/>
      <c r="B120" s="12" t="n"/>
      <c r="C120" s="20" t="n"/>
      <c r="D120" s="20" t="n"/>
      <c r="E120" s="20" t="n"/>
      <c r="F120" s="12" t="n"/>
      <c r="G120" s="12" t="n"/>
      <c r="H120" s="12" t="n"/>
      <c r="I120" s="14" t="n"/>
      <c r="J120" s="12" t="n"/>
      <c r="K120" s="14" t="n"/>
      <c r="L120" s="75" t="n"/>
      <c r="M120" s="12" t="n"/>
      <c r="N120" s="76" t="n"/>
      <c r="O120" s="12" t="n"/>
      <c r="P120" s="12" t="n"/>
      <c r="Q120" s="12" t="n"/>
      <c r="R120" s="77" t="n"/>
      <c r="S120" s="1" t="n"/>
    </row>
    <row r="121">
      <c r="A121" s="74" t="n"/>
      <c r="B121" s="12" t="n"/>
      <c r="C121" s="20" t="n"/>
      <c r="D121" s="20" t="n"/>
      <c r="E121" s="20" t="n"/>
      <c r="F121" s="12" t="n"/>
      <c r="G121" s="12" t="n"/>
      <c r="H121" s="12" t="n"/>
      <c r="I121" s="14" t="n"/>
      <c r="J121" s="12" t="n"/>
      <c r="K121" s="14" t="n"/>
      <c r="L121" s="75" t="n"/>
      <c r="M121" s="12" t="n"/>
      <c r="N121" s="76" t="n"/>
      <c r="O121" s="12" t="n"/>
      <c r="P121" s="12" t="n"/>
      <c r="Q121" s="12" t="n"/>
      <c r="R121" s="77" t="n"/>
      <c r="S121" s="1" t="n"/>
    </row>
    <row r="122">
      <c r="A122" s="74" t="n"/>
      <c r="B122" s="12" t="n"/>
      <c r="C122" s="20" t="n"/>
      <c r="D122" s="20" t="n"/>
      <c r="E122" s="20" t="n"/>
      <c r="F122" s="12" t="n"/>
      <c r="G122" s="12" t="n"/>
      <c r="H122" s="12" t="n"/>
      <c r="I122" s="12" t="n"/>
      <c r="J122" s="12" t="n"/>
      <c r="K122" s="14" t="n"/>
      <c r="L122" s="75" t="n"/>
      <c r="M122" s="12" t="n"/>
      <c r="N122" s="76" t="n"/>
      <c r="O122" s="12" t="n"/>
      <c r="P122" s="12" t="n"/>
      <c r="Q122" s="12" t="n"/>
      <c r="R122" s="77" t="n"/>
      <c r="S122" s="1" t="n"/>
    </row>
    <row r="123">
      <c r="A123" s="74" t="n"/>
      <c r="B123" s="12" t="n"/>
      <c r="C123" s="20" t="n"/>
      <c r="D123" s="20" t="n"/>
      <c r="E123" s="20" t="n"/>
      <c r="F123" s="12" t="n"/>
      <c r="G123" s="12" t="n"/>
      <c r="H123" s="12" t="n"/>
      <c r="I123" s="14" t="n"/>
      <c r="J123" s="12" t="n"/>
      <c r="K123" s="40" t="n"/>
      <c r="L123" s="75" t="n"/>
      <c r="M123" s="12" t="n"/>
      <c r="N123" s="76" t="n"/>
      <c r="O123" s="12" t="n"/>
      <c r="P123" s="12" t="n"/>
      <c r="Q123" s="12" t="n"/>
      <c r="R123" s="77" t="n"/>
      <c r="S123" s="1" t="n"/>
    </row>
    <row r="124">
      <c r="A124" s="74" t="n"/>
      <c r="B124" s="12" t="n"/>
      <c r="C124" s="20" t="n"/>
      <c r="D124" s="20" t="n"/>
      <c r="E124" s="20" t="n"/>
      <c r="F124" s="12" t="n"/>
      <c r="G124" s="12" t="n"/>
      <c r="H124" s="12" t="n"/>
      <c r="I124" s="14" t="n"/>
      <c r="J124" s="12" t="n"/>
      <c r="K124" s="14" t="n"/>
      <c r="L124" s="75" t="n"/>
      <c r="M124" s="12" t="n"/>
      <c r="N124" s="76" t="n"/>
      <c r="O124" s="12" t="n"/>
      <c r="P124" s="12" t="n"/>
      <c r="Q124" s="12" t="n"/>
      <c r="R124" s="77" t="n"/>
      <c r="S124" s="1" t="n"/>
    </row>
    <row r="125">
      <c r="A125" s="74" t="n"/>
      <c r="B125" s="12" t="n"/>
      <c r="C125" s="20" t="n"/>
      <c r="D125" s="20" t="n"/>
      <c r="E125" s="20" t="n"/>
      <c r="F125" s="12" t="n"/>
      <c r="G125" s="12" t="n"/>
      <c r="H125" s="12" t="n"/>
      <c r="I125" s="38" t="n"/>
      <c r="J125" s="39" t="n"/>
      <c r="K125" s="38" t="n"/>
      <c r="L125" s="75" t="n"/>
      <c r="M125" s="12" t="n"/>
      <c r="N125" s="76" t="n"/>
      <c r="O125" s="12" t="n"/>
      <c r="P125" s="12" t="n"/>
      <c r="Q125" s="12" t="n"/>
      <c r="R125" s="77" t="n"/>
      <c r="S125" s="1" t="n"/>
    </row>
    <row r="126">
      <c r="A126" s="74" t="n"/>
      <c r="B126" s="12" t="n"/>
      <c r="C126" s="20" t="n"/>
      <c r="D126" s="20" t="n"/>
      <c r="E126" s="20" t="n"/>
      <c r="F126" s="55" t="n"/>
      <c r="G126" s="12" t="n"/>
      <c r="H126" s="12" t="n"/>
      <c r="I126" s="14" t="n"/>
      <c r="J126" s="12" t="n"/>
      <c r="K126" s="14" t="n"/>
      <c r="L126" s="75" t="n"/>
      <c r="M126" s="12" t="n"/>
      <c r="N126" s="76" t="n"/>
      <c r="O126" s="12" t="n"/>
      <c r="P126" s="12" t="n"/>
      <c r="Q126" s="12" t="n"/>
      <c r="R126" s="77" t="n"/>
      <c r="S126" s="1" t="n"/>
    </row>
    <row r="127">
      <c r="A127" s="74" t="n"/>
      <c r="B127" s="12" t="n"/>
      <c r="C127" s="20" t="n"/>
      <c r="D127" s="20" t="n"/>
      <c r="E127" s="20" t="n"/>
      <c r="F127" s="12" t="n"/>
      <c r="G127" s="12" t="n"/>
      <c r="H127" s="12" t="n"/>
      <c r="I127" s="14" t="n"/>
      <c r="J127" s="12" t="n"/>
      <c r="K127" s="14" t="n"/>
      <c r="L127" s="75" t="n"/>
      <c r="M127" s="12" t="n"/>
      <c r="N127" s="76" t="n"/>
      <c r="O127" s="12" t="n"/>
      <c r="P127" s="12" t="n"/>
      <c r="Q127" s="12" t="n"/>
      <c r="R127" s="77" t="n"/>
      <c r="S127" s="1" t="n"/>
    </row>
    <row r="128">
      <c r="A128" s="74" t="n"/>
      <c r="B128" s="12" t="n"/>
      <c r="C128" s="20" t="n"/>
      <c r="D128" s="20" t="n"/>
      <c r="E128" s="20" t="n"/>
      <c r="F128" s="12" t="n"/>
      <c r="G128" s="12" t="n"/>
      <c r="H128" s="12" t="n"/>
      <c r="I128" s="59" t="n"/>
      <c r="J128" s="1" t="n"/>
      <c r="K128" s="14" t="n"/>
      <c r="L128" s="75" t="n"/>
      <c r="M128" s="12" t="n"/>
      <c r="N128" s="76" t="n"/>
      <c r="O128" s="12" t="n"/>
      <c r="P128" s="12" t="n"/>
      <c r="Q128" s="12" t="n"/>
      <c r="R128" s="77" t="n"/>
      <c r="S128" s="1" t="n"/>
      <c r="T128" s="1" t="n"/>
    </row>
    <row r="129">
      <c r="A129" s="74" t="n"/>
      <c r="B129" s="12" t="n"/>
      <c r="C129" s="20" t="n"/>
      <c r="D129" s="20" t="n"/>
      <c r="E129" s="20" t="n"/>
      <c r="F129" s="12" t="n"/>
      <c r="G129" s="12" t="n"/>
      <c r="H129" s="12" t="n"/>
      <c r="I129" s="14" t="n"/>
      <c r="J129" s="12" t="n"/>
      <c r="K129" s="14" t="n"/>
      <c r="L129" s="75" t="n"/>
      <c r="M129" s="12" t="n"/>
      <c r="N129" s="76" t="n"/>
      <c r="O129" s="12" t="n"/>
      <c r="P129" s="12" t="n"/>
      <c r="Q129" s="12" t="n"/>
      <c r="R129" s="77" t="n"/>
      <c r="S129" s="1" t="n"/>
    </row>
    <row r="130">
      <c r="C130" s="20" t="n"/>
      <c r="D130" s="20" t="n"/>
      <c r="E130" s="20" t="n"/>
      <c r="I130" s="14" t="n"/>
      <c r="J130" s="12" t="n"/>
      <c r="K130" s="14" t="n"/>
    </row>
    <row r="131">
      <c r="C131" s="20" t="n"/>
      <c r="D131" s="20" t="n"/>
      <c r="E131" s="20" t="n"/>
      <c r="I131" s="14" t="n"/>
      <c r="J131" s="12" t="n"/>
      <c r="K131" s="14" t="n"/>
    </row>
    <row r="132">
      <c r="C132" s="20" t="n"/>
      <c r="D132" s="20" t="n"/>
      <c r="E132" s="20" t="n"/>
      <c r="I132" s="14" t="n"/>
      <c r="J132" s="12" t="n"/>
      <c r="K132" s="14" t="n"/>
    </row>
    <row r="133">
      <c r="C133" s="20" t="n"/>
      <c r="D133" s="20" t="n"/>
      <c r="E133" s="20" t="n"/>
      <c r="K133" s="14" t="n"/>
      <c r="N133" s="76" t="n"/>
    </row>
    <row r="134">
      <c r="C134" s="20" t="n"/>
      <c r="D134" s="20" t="n"/>
      <c r="E134" s="20" t="n"/>
      <c r="I134" s="14" t="n"/>
      <c r="J134" s="12" t="n"/>
      <c r="K134" s="14" t="n"/>
    </row>
    <row r="135">
      <c r="C135" s="20" t="n"/>
      <c r="D135" s="20" t="n"/>
      <c r="E135" s="20" t="n"/>
      <c r="I135" s="14" t="n"/>
      <c r="J135" s="12" t="n"/>
      <c r="K135" s="14" t="n"/>
    </row>
    <row r="136">
      <c r="C136" s="20" t="n"/>
      <c r="D136" s="20" t="n"/>
      <c r="E136" s="20" t="n"/>
      <c r="I136" s="14" t="n"/>
      <c r="J136" s="12" t="n"/>
      <c r="K136" s="14" t="n"/>
    </row>
    <row r="137">
      <c r="C137" s="20" t="n"/>
      <c r="D137" s="20" t="n"/>
      <c r="E137" s="20" t="n"/>
    </row>
    <row r="138">
      <c r="C138" s="20" t="n"/>
      <c r="D138" s="20" t="n"/>
      <c r="E138" s="20" t="n"/>
      <c r="I138" s="12" t="n"/>
      <c r="J138" s="12" t="n"/>
      <c r="K138" s="14" t="n"/>
    </row>
    <row r="139">
      <c r="C139" s="20" t="n"/>
      <c r="D139" s="20" t="n"/>
      <c r="E139" s="20" t="n"/>
      <c r="I139" s="12" t="n"/>
      <c r="J139" s="12" t="n"/>
    </row>
    <row r="140">
      <c r="C140" s="20" t="n"/>
      <c r="D140" s="20" t="n"/>
      <c r="E140" s="20" t="n"/>
      <c r="I140" s="14" t="n"/>
      <c r="J140" s="12" t="n"/>
      <c r="K140" s="14" t="n"/>
    </row>
    <row r="141">
      <c r="C141" s="20" t="n"/>
      <c r="D141" s="20" t="n"/>
      <c r="E141" s="20" t="n"/>
      <c r="I141" s="14" t="n"/>
      <c r="J141" s="12" t="n"/>
      <c r="K141" s="14" t="n"/>
    </row>
    <row r="142">
      <c r="C142" s="20" t="n"/>
      <c r="D142" s="20" t="n"/>
      <c r="E142" s="20" t="n"/>
      <c r="I142" s="12" t="n"/>
      <c r="J142" s="12" t="n"/>
      <c r="K142" s="14" t="n"/>
    </row>
    <row r="143">
      <c r="C143" s="20" t="n"/>
      <c r="D143" s="20" t="n"/>
      <c r="E143" s="20" t="n"/>
      <c r="I143" s="14" t="n"/>
      <c r="J143" s="12" t="n"/>
      <c r="K143" s="14" t="n"/>
    </row>
    <row r="144">
      <c r="C144" s="20" t="n"/>
      <c r="D144" s="20" t="n"/>
      <c r="E144" s="20" t="n"/>
      <c r="I144" s="14" t="n"/>
      <c r="J144" s="12" t="n"/>
      <c r="K144" s="14" t="n"/>
    </row>
    <row r="145">
      <c r="C145" s="20" t="n"/>
      <c r="D145" s="20" t="n"/>
      <c r="E145" s="20" t="n"/>
      <c r="I145" s="14" t="n"/>
      <c r="J145" s="12" t="n"/>
      <c r="K145" s="14" t="n"/>
    </row>
    <row r="146">
      <c r="C146" s="20" t="n"/>
      <c r="D146" s="20" t="n"/>
      <c r="E146" s="20" t="n"/>
      <c r="I146" s="12" t="n"/>
      <c r="J146" s="12" t="n"/>
    </row>
    <row r="147">
      <c r="C147" s="20" t="n"/>
      <c r="D147" s="20" t="n"/>
      <c r="E147" s="20" t="n"/>
    </row>
    <row r="148">
      <c r="C148" s="20" t="n"/>
      <c r="D148" s="20" t="n"/>
      <c r="E148" s="20" t="n"/>
      <c r="I148" s="14" t="n"/>
      <c r="J148" s="12" t="n"/>
      <c r="K148" s="14" t="n"/>
      <c r="N148" s="76" t="n"/>
    </row>
    <row r="149">
      <c r="C149" s="20" t="n"/>
      <c r="D149" s="20" t="n"/>
      <c r="E149" s="20" t="n"/>
      <c r="I149" s="14" t="n"/>
      <c r="J149" s="12" t="n"/>
      <c r="K149" s="14" t="n"/>
    </row>
    <row r="150">
      <c r="C150" s="20" t="n"/>
      <c r="D150" s="20" t="n"/>
      <c r="E150" s="20" t="n"/>
      <c r="I150" s="14" t="n"/>
      <c r="J150" s="12" t="n"/>
      <c r="K150" s="14" t="n"/>
    </row>
    <row r="151">
      <c r="C151" s="20" t="n"/>
      <c r="D151" s="20" t="n"/>
      <c r="E151" s="20" t="n"/>
      <c r="I151" s="14" t="n"/>
      <c r="J151" s="12" t="n"/>
      <c r="K151" s="14" t="n"/>
    </row>
    <row r="152">
      <c r="C152" s="20" t="n"/>
      <c r="D152" s="20" t="n"/>
      <c r="E152" s="20" t="n"/>
      <c r="I152" s="14" t="n"/>
      <c r="J152" s="12" t="n"/>
      <c r="K152" s="14" t="n"/>
    </row>
    <row r="153">
      <c r="C153" s="20" t="n"/>
      <c r="D153" s="20" t="n"/>
      <c r="E153" s="20" t="n"/>
      <c r="I153" s="14" t="n"/>
      <c r="J153" s="12" t="n"/>
      <c r="K153" s="14" t="n"/>
    </row>
    <row r="154">
      <c r="C154" s="20" t="n"/>
      <c r="D154" s="20" t="n"/>
      <c r="E154" s="20" t="n"/>
    </row>
    <row r="155">
      <c r="C155" s="20" t="n"/>
      <c r="D155" s="20" t="n"/>
      <c r="E155" s="20" t="n"/>
      <c r="K155" s="14" t="n"/>
    </row>
    <row r="156">
      <c r="C156" s="20" t="n"/>
      <c r="D156" s="20" t="n"/>
      <c r="E156" s="20" t="n"/>
      <c r="I156" s="14" t="n"/>
      <c r="J156" s="12" t="n"/>
      <c r="K156" s="14" t="n"/>
    </row>
    <row r="157">
      <c r="C157" s="20" t="n"/>
      <c r="D157" s="20" t="n"/>
      <c r="E157" s="20" t="n"/>
      <c r="I157" s="14" t="n"/>
      <c r="J157" s="12" t="n"/>
      <c r="K157" s="14" t="n"/>
    </row>
    <row r="158">
      <c r="C158" s="20" t="n"/>
      <c r="D158" s="20" t="n"/>
      <c r="E158" s="20" t="n"/>
      <c r="I158" s="14" t="n"/>
      <c r="J158" s="12" t="n"/>
      <c r="K158" s="14" t="n"/>
    </row>
    <row r="159">
      <c r="C159" s="20" t="n"/>
      <c r="D159" s="20" t="n"/>
      <c r="E159" s="20" t="n"/>
      <c r="I159" s="14" t="n"/>
      <c r="J159" s="12" t="n"/>
      <c r="K159" s="14" t="n"/>
    </row>
    <row r="160">
      <c r="C160" s="20" t="n"/>
      <c r="D160" s="20" t="n"/>
      <c r="E160" s="20" t="n"/>
      <c r="I160" s="14" t="n"/>
      <c r="J160" s="12" t="n"/>
      <c r="K160" s="14" t="n"/>
    </row>
    <row r="161">
      <c r="C161" s="20" t="n"/>
      <c r="D161" s="20" t="n"/>
      <c r="E161" s="20" t="n"/>
      <c r="I161" s="14" t="n"/>
      <c r="J161" s="12" t="n"/>
      <c r="K161" s="14" t="n"/>
      <c r="N161" s="76" t="n"/>
    </row>
    <row r="162">
      <c r="C162" s="20" t="n"/>
      <c r="D162" s="20" t="n"/>
      <c r="E162" s="20" t="n"/>
      <c r="I162" s="14" t="n"/>
      <c r="J162" s="12" t="n"/>
      <c r="K162" s="14" t="n"/>
    </row>
    <row r="163">
      <c r="C163" s="20" t="n"/>
      <c r="D163" s="20" t="n"/>
      <c r="E163" s="20" t="n"/>
      <c r="I163" s="14" t="n"/>
      <c r="J163" s="12" t="n"/>
      <c r="K163" s="14" t="n"/>
    </row>
    <row r="164">
      <c r="C164" s="20" t="n"/>
      <c r="D164" s="20" t="n"/>
      <c r="E164" s="20" t="n"/>
      <c r="I164" s="14" t="n"/>
      <c r="J164" s="12" t="n"/>
      <c r="K164" s="14" t="n"/>
    </row>
    <row r="165">
      <c r="C165" s="20" t="n"/>
      <c r="D165" s="20" t="n"/>
      <c r="E165" s="20" t="n"/>
      <c r="K165" s="14" t="n"/>
    </row>
    <row r="166">
      <c r="C166" s="20" t="n"/>
      <c r="D166" s="20" t="n"/>
      <c r="E166" s="20" t="n"/>
      <c r="I166" s="14" t="n"/>
      <c r="J166" s="12" t="n"/>
      <c r="K166" s="14" t="n"/>
    </row>
    <row r="167">
      <c r="C167" s="20" t="n"/>
      <c r="D167" s="20" t="n"/>
      <c r="E167" s="20" t="n"/>
      <c r="K167" s="14" t="n"/>
    </row>
    <row r="168">
      <c r="C168" s="20" t="n"/>
      <c r="D168" s="20" t="n"/>
      <c r="E168" s="20" t="n"/>
      <c r="I168" s="14" t="n"/>
      <c r="J168" s="12" t="n"/>
      <c r="K168" s="14" t="n"/>
    </row>
    <row r="169">
      <c r="C169" s="20" t="n"/>
      <c r="D169" s="20" t="n"/>
      <c r="E169" s="20" t="n"/>
      <c r="K169" s="14" t="n"/>
    </row>
    <row r="170">
      <c r="C170" s="20" t="n"/>
      <c r="D170" s="20" t="n"/>
      <c r="E170" s="20" t="n"/>
      <c r="I170" s="14" t="n"/>
      <c r="J170" s="12" t="n"/>
      <c r="K170" s="14" t="n"/>
    </row>
    <row r="171">
      <c r="C171" s="20" t="n"/>
      <c r="D171" s="20" t="n"/>
      <c r="E171" s="20" t="n"/>
      <c r="I171" s="14" t="n"/>
      <c r="J171" s="12" t="n"/>
      <c r="K171" s="14" t="n"/>
    </row>
    <row r="172">
      <c r="C172" s="20" t="n"/>
      <c r="D172" s="20" t="n"/>
      <c r="E172" s="20" t="n"/>
      <c r="I172" s="14" t="n"/>
      <c r="J172" s="12" t="n"/>
      <c r="K172" s="14" t="n"/>
    </row>
    <row r="173">
      <c r="C173" s="20" t="n"/>
      <c r="D173" s="20" t="n"/>
      <c r="E173" s="20" t="n"/>
      <c r="I173" s="14" t="n"/>
      <c r="J173" s="12" t="n"/>
      <c r="K173" s="14" t="n"/>
    </row>
    <row r="174">
      <c r="C174" s="20" t="n"/>
      <c r="D174" s="20" t="n"/>
      <c r="E174" s="20" t="n"/>
      <c r="I174" s="14" t="n"/>
      <c r="J174" s="12" t="n"/>
      <c r="K174" s="14" t="n"/>
    </row>
    <row r="175">
      <c r="C175" s="20" t="n"/>
      <c r="D175" s="20" t="n"/>
      <c r="E175" s="20" t="n"/>
      <c r="I175" s="14" t="n"/>
      <c r="J175" s="12" t="n"/>
      <c r="K175" s="14" t="n"/>
    </row>
    <row r="176">
      <c r="C176" s="20" t="n"/>
      <c r="D176" s="20" t="n"/>
      <c r="E176" s="20" t="n"/>
      <c r="I176" s="14" t="n"/>
      <c r="J176" s="12" t="n"/>
      <c r="K176" s="14" t="n"/>
    </row>
    <row r="177">
      <c r="C177" s="20" t="n"/>
      <c r="D177" s="20" t="n"/>
      <c r="E177" s="20" t="n"/>
      <c r="I177" s="14" t="n"/>
      <c r="J177" s="12" t="n"/>
      <c r="K177" s="14" t="n"/>
      <c r="N177" s="76" t="n"/>
    </row>
    <row r="178">
      <c r="C178" s="20" t="n"/>
      <c r="D178" s="20" t="n"/>
      <c r="E178" s="20" t="n"/>
      <c r="I178" s="14" t="n"/>
      <c r="J178" s="12" t="n"/>
      <c r="K178" s="14" t="n"/>
    </row>
    <row r="179">
      <c r="C179" s="20" t="n"/>
      <c r="D179" s="20" t="n"/>
      <c r="E179" s="20" t="n"/>
      <c r="K179" s="14" t="n"/>
    </row>
    <row r="180">
      <c r="C180" s="20" t="n"/>
      <c r="D180" s="20" t="n"/>
      <c r="E180" s="20" t="n"/>
      <c r="I180" s="14" t="n"/>
      <c r="J180" s="12" t="n"/>
      <c r="K180" s="14" t="n"/>
    </row>
    <row r="181">
      <c r="C181" s="20" t="n"/>
      <c r="D181" s="20" t="n"/>
      <c r="E181" s="20" t="n"/>
      <c r="K181" s="14" t="n"/>
    </row>
    <row r="182">
      <c r="C182" s="20" t="n"/>
      <c r="D182" s="20" t="n"/>
      <c r="E182" s="20" t="n"/>
      <c r="K182" s="14" t="n"/>
    </row>
    <row r="183">
      <c r="C183" s="20" t="n"/>
      <c r="D183" s="20" t="n"/>
      <c r="E183" s="20" t="n"/>
      <c r="I183" s="14" t="n"/>
      <c r="J183" s="12" t="n"/>
      <c r="K183" s="14" t="n"/>
    </row>
    <row r="184">
      <c r="C184" s="20" t="n"/>
      <c r="D184" s="20" t="n"/>
      <c r="E184" s="20" t="n"/>
      <c r="I184" s="14" t="n"/>
      <c r="J184" s="12" t="n"/>
      <c r="K184" s="14" t="n"/>
    </row>
    <row r="185">
      <c r="C185" s="20" t="n"/>
      <c r="D185" s="20" t="n"/>
      <c r="E185" s="20" t="n"/>
      <c r="I185" s="14" t="n"/>
      <c r="J185" s="12" t="n"/>
      <c r="K185" s="14" t="n"/>
    </row>
    <row r="186">
      <c r="C186" s="20" t="n"/>
      <c r="D186" s="20" t="n"/>
      <c r="E186" s="20" t="n"/>
      <c r="I186" s="14" t="n"/>
      <c r="J186" s="12" t="n"/>
      <c r="K186" s="14" t="n"/>
    </row>
    <row r="187">
      <c r="C187" s="20" t="n"/>
      <c r="D187" s="20" t="n"/>
      <c r="E187" s="20" t="n"/>
    </row>
    <row r="188">
      <c r="C188" s="20" t="n"/>
      <c r="D188" s="20" t="n"/>
      <c r="E188" s="20" t="n"/>
      <c r="I188" s="14" t="n"/>
      <c r="J188" s="12" t="n"/>
      <c r="K188" s="14" t="n"/>
    </row>
    <row r="189">
      <c r="C189" s="20" t="n"/>
      <c r="D189" s="20" t="n"/>
      <c r="E189" s="20" t="n"/>
      <c r="I189" s="14" t="n"/>
      <c r="J189" s="12" t="n"/>
      <c r="K189" s="14" t="n"/>
    </row>
    <row r="190">
      <c r="C190" s="20" t="n"/>
      <c r="D190" s="20" t="n"/>
      <c r="E190" s="20" t="n"/>
    </row>
    <row r="191">
      <c r="C191" s="20" t="n"/>
      <c r="D191" s="20" t="n"/>
      <c r="E191" s="20" t="n"/>
      <c r="I191" s="14" t="n"/>
      <c r="J191" s="12" t="n"/>
      <c r="N191" s="76" t="n"/>
    </row>
    <row r="192">
      <c r="C192" s="20" t="n"/>
      <c r="D192" s="20" t="n"/>
      <c r="E192" s="20" t="n"/>
    </row>
    <row r="193">
      <c r="C193" s="20" t="n"/>
      <c r="D193" s="20" t="n"/>
      <c r="E193" s="20" t="n"/>
      <c r="I193" s="14" t="n"/>
      <c r="J193" s="12" t="n"/>
      <c r="K193" s="14" t="n"/>
    </row>
    <row r="194">
      <c r="C194" s="20" t="n"/>
      <c r="D194" s="20" t="n"/>
      <c r="E194" s="20" t="n"/>
      <c r="I194" s="14" t="n"/>
      <c r="J194" s="12" t="n"/>
      <c r="K194" s="14" t="n"/>
    </row>
    <row r="195">
      <c r="C195" s="20" t="n"/>
      <c r="D195" s="20" t="n"/>
      <c r="E195" s="20" t="n"/>
      <c r="I195" s="14" t="n"/>
      <c r="J195" s="12" t="n"/>
      <c r="K195" s="14" t="n"/>
      <c r="N195" s="76" t="n"/>
    </row>
    <row r="196">
      <c r="C196" s="20" t="n"/>
      <c r="D196" s="20" t="n"/>
      <c r="E196" s="20" t="n"/>
    </row>
    <row r="197">
      <c r="C197" s="20" t="n"/>
      <c r="D197" s="20" t="n"/>
      <c r="E197" s="20" t="n"/>
    </row>
    <row r="198">
      <c r="C198" s="20" t="n"/>
      <c r="D198" s="20" t="n"/>
      <c r="E198" s="20" t="n"/>
      <c r="N198" s="76" t="n"/>
    </row>
    <row r="199">
      <c r="C199" s="20" t="n"/>
      <c r="D199" s="20" t="n"/>
      <c r="E199" s="20" t="n"/>
      <c r="I199" s="14" t="n"/>
      <c r="J199" s="12" t="n"/>
      <c r="K199" s="14" t="n"/>
    </row>
    <row r="200">
      <c r="C200" s="20" t="n"/>
      <c r="D200" s="20" t="n"/>
      <c r="E200" s="20" t="n"/>
      <c r="K200" s="14" t="n"/>
    </row>
    <row r="201">
      <c r="C201" s="20" t="n"/>
      <c r="D201" s="20" t="n"/>
      <c r="E201" s="20" t="n"/>
      <c r="I201" s="14" t="n"/>
      <c r="J201" s="12" t="n"/>
      <c r="K201" s="14" t="n"/>
    </row>
    <row r="202">
      <c r="C202" s="20" t="n"/>
      <c r="D202" s="20" t="n"/>
      <c r="E202" s="20" t="n"/>
      <c r="I202" s="12" t="n"/>
      <c r="J202" s="12" t="n"/>
      <c r="K202" s="14" t="n"/>
    </row>
    <row r="203">
      <c r="C203" s="20" t="n"/>
      <c r="D203" s="20" t="n"/>
      <c r="E203" s="20" t="n"/>
      <c r="I203" s="14" t="n"/>
      <c r="J203" s="12" t="n"/>
      <c r="K203" s="14" t="n"/>
    </row>
    <row r="204">
      <c r="C204" s="20" t="n"/>
      <c r="D204" s="20" t="n"/>
      <c r="E204" s="20" t="n"/>
    </row>
    <row r="205">
      <c r="C205" s="20" t="n"/>
      <c r="D205" s="20" t="n"/>
      <c r="E205" s="20" t="n"/>
    </row>
    <row r="206">
      <c r="C206" s="20" t="n"/>
      <c r="D206" s="20" t="n"/>
      <c r="E206" s="20" t="n"/>
      <c r="K206" s="14" t="n"/>
    </row>
    <row r="207">
      <c r="C207" s="20" t="n"/>
      <c r="D207" s="20" t="n"/>
      <c r="E207" s="20" t="n"/>
    </row>
    <row r="208">
      <c r="C208" s="20" t="n"/>
      <c r="D208" s="20" t="n"/>
      <c r="E208" s="20" t="n"/>
    </row>
    <row r="209">
      <c r="C209" s="20" t="n"/>
      <c r="D209" s="20" t="n"/>
      <c r="E209" s="20" t="n"/>
    </row>
    <row r="210">
      <c r="C210" s="20" t="n"/>
      <c r="D210" s="20" t="n"/>
      <c r="E210" s="20" t="n"/>
    </row>
    <row r="211">
      <c r="C211" s="20" t="n"/>
      <c r="D211" s="20" t="n"/>
      <c r="E211" s="20" t="n"/>
      <c r="I211" s="14" t="n"/>
      <c r="J211" s="12" t="n"/>
      <c r="K211" s="14" t="n"/>
    </row>
    <row r="212">
      <c r="C212" s="20" t="n"/>
      <c r="D212" s="20" t="n"/>
      <c r="E212" s="20" t="n"/>
    </row>
    <row r="213">
      <c r="C213" s="20" t="n"/>
      <c r="D213" s="20" t="n"/>
      <c r="E213" s="20" t="n"/>
      <c r="N213" s="76" t="n"/>
    </row>
    <row r="214">
      <c r="C214" s="20" t="n"/>
      <c r="D214" s="20" t="n"/>
      <c r="E214" s="20" t="n"/>
    </row>
    <row r="215">
      <c r="C215" s="20" t="n"/>
      <c r="D215" s="20" t="n"/>
      <c r="E215" s="20" t="n"/>
    </row>
    <row r="216">
      <c r="C216" s="20" t="n"/>
      <c r="D216" s="20" t="n"/>
      <c r="E216" s="20" t="n"/>
    </row>
    <row r="217">
      <c r="C217" s="20" t="n"/>
      <c r="D217" s="20" t="n"/>
      <c r="E217" s="20" t="n"/>
      <c r="I217" s="14" t="n"/>
      <c r="J217" s="12" t="n"/>
      <c r="K217" s="14" t="n"/>
      <c r="N217" s="78" t="n"/>
    </row>
    <row r="218">
      <c r="C218" s="20" t="n"/>
      <c r="D218" s="20" t="n"/>
      <c r="E218" s="20" t="n"/>
    </row>
    <row r="219">
      <c r="C219" s="20" t="n"/>
      <c r="D219" s="20" t="n"/>
      <c r="E219" s="20" t="n"/>
      <c r="I219" s="14" t="n"/>
      <c r="J219" s="12" t="n"/>
      <c r="K219" s="14" t="n"/>
    </row>
    <row r="220">
      <c r="C220" s="20" t="n"/>
      <c r="D220" s="20" t="n"/>
      <c r="E220" s="20" t="n"/>
    </row>
    <row r="221">
      <c r="C221" s="20" t="n"/>
      <c r="D221" s="20" t="n"/>
      <c r="E221" s="20" t="n"/>
    </row>
    <row r="222">
      <c r="C222" s="20" t="n"/>
      <c r="D222" s="20" t="n"/>
      <c r="E222" s="20" t="n"/>
    </row>
    <row r="223">
      <c r="C223" s="20" t="n"/>
      <c r="D223" s="20" t="n"/>
      <c r="E223" s="20" t="n"/>
    </row>
    <row r="224">
      <c r="C224" s="20" t="n"/>
      <c r="D224" s="20" t="n"/>
      <c r="E224" s="20" t="n"/>
    </row>
    <row r="225">
      <c r="C225" s="20" t="n"/>
      <c r="D225" s="20" t="n"/>
      <c r="E225" s="20" t="n"/>
      <c r="N225" s="76" t="n"/>
    </row>
    <row r="226">
      <c r="C226" s="20" t="n"/>
      <c r="D226" s="20" t="n"/>
      <c r="E226" s="20" t="n"/>
      <c r="N226" s="76" t="n"/>
    </row>
    <row r="227">
      <c r="C227" s="20" t="n"/>
      <c r="D227" s="20" t="n"/>
      <c r="E227" s="20" t="n"/>
    </row>
    <row r="228">
      <c r="C228" s="20" t="n"/>
      <c r="D228" s="20" t="n"/>
      <c r="E228" s="20" t="n"/>
    </row>
    <row r="229">
      <c r="C229" s="20" t="n"/>
      <c r="D229" s="20" t="n"/>
      <c r="E229" s="20" t="n"/>
    </row>
    <row r="230">
      <c r="C230" s="20" t="n"/>
      <c r="D230" s="20" t="n"/>
      <c r="E230" s="20" t="n"/>
    </row>
    <row r="231">
      <c r="C231" s="20" t="n"/>
      <c r="D231" s="20" t="n"/>
      <c r="E231" s="20" t="n"/>
    </row>
    <row r="232">
      <c r="C232" s="20" t="n"/>
      <c r="D232" s="20" t="n"/>
      <c r="E232" s="20" t="n"/>
      <c r="N232" s="76" t="n"/>
    </row>
    <row r="233">
      <c r="C233" s="20" t="n"/>
      <c r="D233" s="20" t="n"/>
      <c r="E233" s="20" t="n"/>
    </row>
    <row r="234">
      <c r="C234" s="20" t="n"/>
      <c r="D234" s="20" t="n"/>
      <c r="E234" s="20" t="n"/>
    </row>
    <row r="235">
      <c r="C235" s="20" t="n"/>
      <c r="D235" s="20" t="n"/>
      <c r="E235" s="20" t="n"/>
      <c r="I235" s="14" t="n"/>
      <c r="J235" s="12" t="n"/>
      <c r="K235" s="14" t="n"/>
    </row>
    <row r="236">
      <c r="C236" s="20" t="n"/>
      <c r="D236" s="20" t="n"/>
      <c r="E236" s="20" t="n"/>
    </row>
    <row r="237">
      <c r="C237" s="20" t="n"/>
      <c r="D237" s="20" t="n"/>
      <c r="E237" s="20" t="n"/>
    </row>
    <row r="238">
      <c r="C238" s="20" t="n"/>
      <c r="D238" s="20" t="n"/>
      <c r="E238" s="20" t="n"/>
      <c r="N238" s="76" t="n"/>
    </row>
    <row r="239">
      <c r="C239" s="20" t="n"/>
      <c r="D239" s="20" t="n"/>
      <c r="E239" s="20" t="n"/>
    </row>
    <row r="240">
      <c r="C240" s="20" t="n"/>
      <c r="D240" s="20" t="n"/>
      <c r="E240" s="20" t="n"/>
    </row>
    <row r="241">
      <c r="C241" s="20" t="n"/>
      <c r="D241" s="20" t="n"/>
      <c r="E241" s="20" t="n"/>
    </row>
    <row r="242">
      <c r="C242" s="20" t="n"/>
      <c r="D242" s="20" t="n"/>
      <c r="E242" s="20" t="n"/>
    </row>
    <row r="243">
      <c r="C243" s="20" t="n"/>
      <c r="D243" s="20" t="n"/>
      <c r="E243" s="20" t="n"/>
    </row>
    <row r="244">
      <c r="C244" s="20" t="n"/>
      <c r="D244" s="20" t="n"/>
      <c r="E244" s="20" t="n"/>
    </row>
    <row r="245">
      <c r="C245" s="20" t="n"/>
      <c r="D245" s="20" t="n"/>
      <c r="E245" s="20" t="n"/>
    </row>
    <row r="246">
      <c r="C246" s="20" t="n"/>
      <c r="D246" s="20" t="n"/>
      <c r="E246" s="20" t="n"/>
    </row>
    <row r="247">
      <c r="C247" s="20" t="n"/>
      <c r="D247" s="20" t="n"/>
      <c r="E247" s="20" t="n"/>
    </row>
    <row r="248">
      <c r="C248" s="20" t="n"/>
      <c r="D248" s="20" t="n"/>
      <c r="E248" s="20" t="n"/>
    </row>
    <row r="249">
      <c r="C249" s="20" t="n"/>
      <c r="D249" s="20" t="n"/>
      <c r="E249" s="20" t="n"/>
    </row>
    <row r="250">
      <c r="C250" s="20" t="n"/>
      <c r="D250" s="20" t="n"/>
      <c r="E250" s="20" t="n"/>
    </row>
    <row r="251">
      <c r="C251" s="20" t="n"/>
      <c r="D251" s="20" t="n"/>
      <c r="E251" s="20" t="n"/>
    </row>
    <row r="252">
      <c r="C252" s="20" t="n"/>
      <c r="D252" s="20" t="n"/>
      <c r="E252" s="20" t="n"/>
    </row>
    <row r="253">
      <c r="C253" s="20" t="n"/>
      <c r="D253" s="20" t="n"/>
      <c r="E253" s="20" t="n"/>
    </row>
    <row r="254">
      <c r="C254" s="20" t="n"/>
      <c r="D254" s="20" t="n"/>
      <c r="E254" s="20" t="n"/>
    </row>
    <row r="255">
      <c r="C255" s="20" t="n"/>
      <c r="D255" s="20" t="n"/>
      <c r="E255" s="20" t="n"/>
      <c r="N255" s="76" t="n"/>
    </row>
    <row r="256">
      <c r="C256" s="20" t="n"/>
      <c r="D256" s="20" t="n"/>
      <c r="E256" s="20" t="n"/>
      <c r="N256" s="76" t="n"/>
    </row>
    <row r="257">
      <c r="C257" s="20" t="n"/>
      <c r="D257" s="20" t="n"/>
      <c r="E257" s="20" t="n"/>
    </row>
    <row r="258">
      <c r="C258" s="20" t="n"/>
      <c r="D258" s="20" t="n"/>
      <c r="E258" s="20" t="n"/>
      <c r="N258" s="76" t="n"/>
    </row>
    <row r="259">
      <c r="C259" s="20" t="n"/>
      <c r="D259" s="20" t="n"/>
      <c r="E259" s="20" t="n"/>
    </row>
    <row r="260">
      <c r="C260" s="20" t="n"/>
      <c r="D260" s="20" t="n"/>
      <c r="E260" s="20" t="n"/>
    </row>
    <row r="261">
      <c r="C261" s="20" t="n"/>
      <c r="D261" s="20" t="n"/>
      <c r="E261" s="20" t="n"/>
    </row>
    <row r="262">
      <c r="C262" s="20" t="n"/>
      <c r="D262" s="20" t="n"/>
      <c r="E262" s="20" t="n"/>
    </row>
    <row r="263">
      <c r="C263" s="20" t="n"/>
      <c r="D263" s="20" t="n"/>
      <c r="E263" s="20" t="n"/>
    </row>
    <row r="264">
      <c r="C264" s="20" t="n"/>
      <c r="D264" s="20" t="n"/>
      <c r="E264" s="20" t="n"/>
      <c r="N264" s="76" t="n"/>
    </row>
    <row r="265">
      <c r="C265" s="20" t="n"/>
      <c r="D265" s="20" t="n"/>
      <c r="E265" s="20" t="n"/>
    </row>
    <row r="266">
      <c r="C266" s="20" t="n"/>
      <c r="D266" s="20" t="n"/>
      <c r="E266" s="20" t="n"/>
    </row>
    <row r="267">
      <c r="C267" s="20" t="n"/>
      <c r="D267" s="20" t="n"/>
      <c r="E267" s="20" t="n"/>
    </row>
    <row r="268">
      <c r="C268" s="20" t="n"/>
      <c r="D268" s="20" t="n"/>
      <c r="E268" s="20" t="n"/>
    </row>
    <row r="269">
      <c r="C269" s="20" t="n"/>
      <c r="D269" s="20" t="n"/>
      <c r="E269" s="20" t="n"/>
    </row>
    <row r="270">
      <c r="C270" s="20" t="n"/>
      <c r="D270" s="20" t="n"/>
      <c r="E270" s="20" t="n"/>
    </row>
    <row r="271">
      <c r="C271" s="20" t="n"/>
      <c r="D271" s="20" t="n"/>
      <c r="E271" s="20" t="n"/>
    </row>
    <row r="272">
      <c r="C272" s="20" t="n"/>
      <c r="D272" s="20" t="n"/>
      <c r="E272" s="20" t="n"/>
    </row>
    <row r="273">
      <c r="C273" s="20" t="n"/>
      <c r="D273" s="20" t="n"/>
      <c r="E273" s="20" t="n"/>
    </row>
    <row r="274">
      <c r="C274" s="20" t="n"/>
      <c r="D274" s="20" t="n"/>
      <c r="E274" s="20" t="n"/>
      <c r="N274" s="76" t="n"/>
    </row>
    <row r="275">
      <c r="C275" s="20" t="n"/>
      <c r="D275" s="20" t="n"/>
      <c r="E275" s="20" t="n"/>
      <c r="I275" s="12" t="n"/>
      <c r="J275" s="57" t="n"/>
    </row>
    <row r="276">
      <c r="C276" s="20" t="n"/>
      <c r="D276" s="20" t="n"/>
      <c r="E276" s="20" t="n"/>
    </row>
    <row r="277">
      <c r="C277" s="20" t="n"/>
      <c r="D277" s="20" t="n"/>
      <c r="E277" s="20" t="n"/>
    </row>
    <row r="278">
      <c r="C278" s="20" t="n"/>
      <c r="D278" s="20" t="n"/>
      <c r="E278" s="20" t="n"/>
      <c r="N278" s="76" t="n"/>
    </row>
    <row r="279">
      <c r="C279" s="20" t="n"/>
      <c r="D279" s="20" t="n"/>
      <c r="E279" s="20" t="n"/>
    </row>
    <row r="280">
      <c r="C280" s="20" t="n"/>
      <c r="D280" s="20" t="n"/>
      <c r="E280" s="20" t="n"/>
    </row>
    <row r="281">
      <c r="C281" s="20" t="n"/>
      <c r="D281" s="20" t="n"/>
      <c r="E281" s="20" t="n"/>
    </row>
    <row r="282">
      <c r="C282" s="20" t="n"/>
      <c r="D282" s="20" t="n"/>
      <c r="E282" s="20" t="n"/>
    </row>
    <row r="283">
      <c r="C283" s="20" t="n"/>
      <c r="D283" s="20" t="n"/>
      <c r="E283" s="20" t="n"/>
    </row>
    <row r="284">
      <c r="C284" s="20" t="n"/>
      <c r="D284" s="20" t="n"/>
      <c r="E284" s="20" t="n"/>
    </row>
    <row r="285">
      <c r="C285" s="20" t="n"/>
      <c r="D285" s="20" t="n"/>
      <c r="E285" s="20" t="n"/>
    </row>
    <row r="286">
      <c r="C286" s="20" t="n"/>
      <c r="D286" s="20" t="n"/>
      <c r="E286" s="20" t="n"/>
    </row>
    <row r="287">
      <c r="C287" s="20" t="n"/>
      <c r="D287" s="20" t="n"/>
      <c r="E287" s="20" t="n"/>
    </row>
    <row r="288">
      <c r="C288" s="20" t="n"/>
      <c r="D288" s="20" t="n"/>
      <c r="E288" s="20" t="n"/>
      <c r="J288" s="12" t="n"/>
      <c r="N288" s="76" t="n"/>
    </row>
    <row r="289">
      <c r="C289" s="20" t="n"/>
      <c r="D289" s="20" t="n"/>
      <c r="E289" s="20" t="n"/>
      <c r="N289" s="76" t="n"/>
    </row>
    <row r="290">
      <c r="C290" s="20" t="n"/>
      <c r="D290" s="20" t="n"/>
      <c r="E290" s="20" t="n"/>
    </row>
    <row r="291">
      <c r="C291" s="20" t="n"/>
      <c r="D291" s="20" t="n"/>
      <c r="E291" s="20" t="n"/>
    </row>
    <row r="292">
      <c r="C292" s="20" t="n"/>
      <c r="D292" s="20" t="n"/>
      <c r="E292" s="20" t="n"/>
    </row>
    <row r="293">
      <c r="C293" s="20" t="n"/>
      <c r="D293" s="20" t="n"/>
      <c r="E293" s="20" t="n"/>
    </row>
    <row r="294">
      <c r="C294" s="20" t="n"/>
      <c r="D294" s="20" t="n"/>
      <c r="E294" s="20" t="n"/>
    </row>
    <row r="295">
      <c r="C295" s="20" t="n"/>
      <c r="D295" s="20" t="n"/>
      <c r="E295" s="20" t="n"/>
    </row>
    <row r="296">
      <c r="C296" s="20" t="n"/>
      <c r="D296" s="20" t="n"/>
      <c r="E296" s="20" t="n"/>
      <c r="N296" s="76" t="n"/>
    </row>
    <row r="297">
      <c r="C297" s="20" t="n"/>
      <c r="D297" s="20" t="n"/>
      <c r="E297" s="20" t="n"/>
      <c r="N297" s="76" t="n"/>
    </row>
    <row r="298">
      <c r="C298" s="20" t="n"/>
      <c r="D298" s="20" t="n"/>
      <c r="E298" s="20" t="n"/>
    </row>
    <row r="299">
      <c r="C299" s="20" t="n"/>
      <c r="D299" s="20" t="n"/>
      <c r="E299" s="20" t="n"/>
    </row>
    <row r="300">
      <c r="C300" s="20" t="n"/>
      <c r="D300" s="20" t="n"/>
      <c r="E300" s="20" t="n"/>
    </row>
    <row r="301">
      <c r="C301" s="20" t="n"/>
      <c r="D301" s="20" t="n"/>
      <c r="E301" s="20" t="n"/>
    </row>
    <row r="302">
      <c r="C302" s="20" t="n"/>
      <c r="D302" s="20" t="n"/>
      <c r="E302" s="20" t="n"/>
    </row>
    <row r="303">
      <c r="C303" s="20" t="n"/>
      <c r="D303" s="20" t="n"/>
      <c r="E303" s="20" t="n"/>
      <c r="I303" s="12" t="n"/>
      <c r="J303" s="12" t="n"/>
    </row>
    <row r="304">
      <c r="C304" s="20" t="n"/>
      <c r="D304" s="20" t="n"/>
      <c r="E304" s="20" t="n"/>
    </row>
    <row r="305">
      <c r="C305" s="20" t="n"/>
      <c r="D305" s="20" t="n"/>
      <c r="E305" s="20" t="n"/>
    </row>
    <row r="306">
      <c r="C306" s="20" t="n"/>
      <c r="D306" s="20" t="n"/>
      <c r="E306" s="20" t="n"/>
    </row>
    <row r="307">
      <c r="C307" s="20" t="n"/>
      <c r="D307" s="20" t="n"/>
      <c r="E307" s="20" t="n"/>
    </row>
    <row r="308">
      <c r="C308" s="20" t="n"/>
      <c r="D308" s="20" t="n"/>
      <c r="E308" s="20" t="n"/>
    </row>
    <row r="309">
      <c r="C309" s="20" t="n"/>
      <c r="D309" s="20" t="n"/>
      <c r="E309" s="20" t="n"/>
    </row>
    <row r="310">
      <c r="C310" s="20" t="n"/>
      <c r="D310" s="20" t="n"/>
      <c r="E310" s="20" t="n"/>
    </row>
    <row r="311">
      <c r="C311" s="20" t="n"/>
      <c r="D311" s="20" t="n"/>
      <c r="E311" s="20" t="n"/>
    </row>
    <row r="312">
      <c r="C312" s="20" t="n"/>
      <c r="D312" s="20" t="n"/>
      <c r="E312" s="20" t="n"/>
    </row>
    <row r="313">
      <c r="C313" s="20" t="n"/>
      <c r="D313" s="20" t="n"/>
      <c r="E313" s="20" t="n"/>
    </row>
    <row r="314">
      <c r="C314" s="20" t="n"/>
      <c r="D314" s="20" t="n"/>
      <c r="E314" s="20" t="n"/>
    </row>
    <row r="315">
      <c r="C315" s="20" t="n"/>
      <c r="D315" s="20" t="n"/>
      <c r="E315" s="20" t="n"/>
    </row>
    <row r="316">
      <c r="C316" s="20" t="n"/>
      <c r="D316" s="20" t="n"/>
      <c r="E316" s="20" t="n"/>
    </row>
    <row r="317">
      <c r="C317" s="20" t="n"/>
      <c r="D317" s="20" t="n"/>
      <c r="E317" s="20" t="n"/>
    </row>
    <row r="318">
      <c r="C318" s="20" t="n"/>
      <c r="D318" s="20" t="n"/>
      <c r="E318" s="20" t="n"/>
    </row>
    <row r="319">
      <c r="C319" s="20" t="n"/>
      <c r="D319" s="20" t="n"/>
      <c r="E319" s="20" t="n"/>
    </row>
    <row r="320">
      <c r="C320" s="20" t="n"/>
      <c r="D320" s="20" t="n"/>
      <c r="E320" s="20" t="n"/>
    </row>
    <row r="321">
      <c r="C321" s="20" t="n"/>
      <c r="D321" s="20" t="n"/>
      <c r="E321" s="20" t="n"/>
    </row>
    <row r="322">
      <c r="C322" s="20" t="n"/>
      <c r="D322" s="20" t="n"/>
      <c r="E322" s="20" t="n"/>
    </row>
    <row r="323">
      <c r="C323" s="20" t="n"/>
      <c r="D323" s="20" t="n"/>
      <c r="E323" s="20" t="n"/>
    </row>
    <row r="324">
      <c r="C324" s="20" t="n"/>
      <c r="D324" s="20" t="n"/>
      <c r="E324" s="20" t="n"/>
    </row>
    <row r="325">
      <c r="C325" s="20" t="n"/>
      <c r="D325" s="20" t="n"/>
      <c r="E325" s="20" t="n"/>
    </row>
    <row r="326">
      <c r="C326" s="20" t="n"/>
      <c r="D326" s="20" t="n"/>
      <c r="E326" s="20" t="n"/>
    </row>
    <row r="327">
      <c r="C327" s="20" t="n"/>
      <c r="D327" s="20" t="n"/>
      <c r="E327" s="20" t="n"/>
    </row>
    <row r="328">
      <c r="C328" s="20" t="n"/>
      <c r="D328" s="20" t="n"/>
      <c r="E328" s="20" t="n"/>
    </row>
    <row r="329">
      <c r="C329" s="20" t="n"/>
      <c r="D329" s="20" t="n"/>
      <c r="E329" s="20" t="n"/>
    </row>
    <row r="330">
      <c r="C330" s="20" t="n"/>
      <c r="D330" s="20" t="n"/>
      <c r="E330" s="20" t="n"/>
    </row>
    <row r="331">
      <c r="C331" s="20" t="n"/>
      <c r="D331" s="20" t="n"/>
      <c r="E331" s="20" t="n"/>
    </row>
    <row r="332">
      <c r="C332" s="20" t="n"/>
      <c r="D332" s="20" t="n"/>
      <c r="E332" s="20" t="n"/>
    </row>
    <row r="333">
      <c r="C333" s="20" t="n"/>
      <c r="D333" s="20" t="n"/>
      <c r="E333" s="20" t="n"/>
    </row>
    <row r="334">
      <c r="C334" s="20" t="n"/>
      <c r="D334" s="20" t="n"/>
      <c r="E334" s="20" t="n"/>
    </row>
    <row r="335">
      <c r="C335" s="20" t="n"/>
      <c r="D335" s="20" t="n"/>
      <c r="E335" s="20" t="n"/>
    </row>
    <row r="336">
      <c r="C336" s="20" t="n"/>
      <c r="D336" s="20" t="n"/>
      <c r="E336" s="20" t="n"/>
    </row>
    <row r="337">
      <c r="C337" s="20" t="n"/>
      <c r="D337" s="20" t="n"/>
      <c r="E337" s="20" t="n"/>
    </row>
    <row r="338">
      <c r="C338" s="20" t="n"/>
      <c r="D338" s="20" t="n"/>
      <c r="E338" s="20" t="n"/>
    </row>
    <row r="339">
      <c r="C339" s="20" t="n"/>
      <c r="D339" s="20" t="n"/>
      <c r="E339" s="20" t="n"/>
    </row>
    <row r="340">
      <c r="C340" s="20" t="n"/>
      <c r="D340" s="20" t="n"/>
      <c r="E340" s="20" t="n"/>
    </row>
    <row r="341">
      <c r="C341" s="20" t="n"/>
      <c r="D341" s="20" t="n"/>
      <c r="E341" s="20" t="n"/>
    </row>
    <row r="342">
      <c r="C342" s="20" t="n"/>
      <c r="D342" s="20" t="n"/>
      <c r="E342" s="20" t="n"/>
    </row>
    <row r="343">
      <c r="C343" s="20" t="n"/>
      <c r="D343" s="20" t="n"/>
      <c r="E343" s="20" t="n"/>
    </row>
    <row r="344">
      <c r="C344" s="20" t="n"/>
      <c r="D344" s="20" t="n"/>
      <c r="E344" s="20" t="n"/>
    </row>
    <row r="345">
      <c r="C345" s="20" t="n"/>
      <c r="D345" s="20" t="n"/>
      <c r="E345" s="20" t="n"/>
    </row>
    <row r="346">
      <c r="C346" s="20" t="n"/>
      <c r="D346" s="20" t="n"/>
      <c r="E346" s="20" t="n"/>
    </row>
    <row r="347" customFormat="1" s="1">
      <c r="A347" s="74" t="n"/>
      <c r="B347" s="12" t="n"/>
      <c r="C347" s="20" t="n"/>
      <c r="D347" s="20" t="n"/>
      <c r="E347" s="20" t="n"/>
      <c r="F347" s="12" t="n"/>
      <c r="G347" s="12" t="n"/>
      <c r="H347" s="12" t="n"/>
      <c r="I347" s="38" t="n"/>
      <c r="J347" s="39" t="n"/>
      <c r="K347" s="38" t="n"/>
      <c r="L347" s="75" t="n"/>
      <c r="M347" s="12" t="n"/>
      <c r="N347" s="76" t="n"/>
      <c r="O347" s="12" t="n"/>
      <c r="P347" s="12" t="n"/>
      <c r="Q347" s="12" t="n"/>
      <c r="R347" s="77" t="n"/>
    </row>
    <row r="348">
      <c r="C348" s="20" t="n"/>
      <c r="D348" s="20" t="n"/>
      <c r="E348" s="20" t="n"/>
    </row>
    <row r="349">
      <c r="C349" s="20" t="n"/>
      <c r="D349" s="20" t="n"/>
      <c r="E349" s="20" t="n"/>
    </row>
    <row r="350">
      <c r="C350" s="20" t="n"/>
      <c r="D350" s="20" t="n"/>
      <c r="E350" s="20" t="n"/>
    </row>
    <row r="351">
      <c r="C351" s="20" t="n"/>
      <c r="D351" s="20" t="n"/>
      <c r="E351" s="20" t="n"/>
      <c r="I351" s="12" t="n"/>
      <c r="J351" s="12" t="n"/>
    </row>
    <row r="352">
      <c r="C352" s="20" t="n"/>
      <c r="D352" s="20" t="n"/>
      <c r="E352" s="20" t="n"/>
    </row>
    <row r="353">
      <c r="C353" s="20" t="n"/>
      <c r="D353" s="20" t="n"/>
      <c r="E353" s="20" t="n"/>
      <c r="N353" s="76" t="n"/>
    </row>
    <row r="354">
      <c r="C354" s="20" t="n"/>
      <c r="D354" s="20" t="n"/>
      <c r="E354" s="20" t="n"/>
    </row>
    <row r="355">
      <c r="C355" s="20" t="n"/>
      <c r="D355" s="20" t="n"/>
      <c r="E355" s="20" t="n"/>
    </row>
    <row r="356">
      <c r="C356" s="20" t="n"/>
      <c r="D356" s="20" t="n"/>
      <c r="E356" s="20" t="n"/>
    </row>
    <row r="357">
      <c r="C357" s="20" t="n"/>
      <c r="D357" s="20" t="n"/>
      <c r="E357" s="20" t="n"/>
      <c r="N357" s="76" t="n"/>
    </row>
    <row r="358">
      <c r="C358" s="20" t="n"/>
      <c r="D358" s="20" t="n"/>
      <c r="E358" s="20" t="n"/>
    </row>
    <row r="359">
      <c r="C359" s="20" t="n"/>
      <c r="D359" s="20" t="n"/>
      <c r="E359" s="20" t="n"/>
    </row>
    <row r="360">
      <c r="C360" s="20" t="n"/>
      <c r="D360" s="20" t="n"/>
      <c r="E360" s="20" t="n"/>
    </row>
    <row r="361">
      <c r="C361" s="20" t="n"/>
      <c r="D361" s="20" t="n"/>
      <c r="E361" s="20" t="n"/>
    </row>
    <row r="362">
      <c r="C362" s="20" t="n"/>
      <c r="D362" s="20" t="n"/>
      <c r="E362" s="20" t="n"/>
    </row>
    <row r="363">
      <c r="C363" s="20" t="n"/>
      <c r="D363" s="20" t="n"/>
      <c r="E363" s="20" t="n"/>
      <c r="N363" s="76" t="n"/>
    </row>
    <row r="364">
      <c r="C364" s="20" t="n"/>
      <c r="D364" s="20" t="n"/>
      <c r="E364" s="20" t="n"/>
      <c r="N364" s="76" t="n"/>
    </row>
    <row r="365">
      <c r="C365" s="20" t="n"/>
      <c r="D365" s="20" t="n"/>
      <c r="E365" s="20" t="n"/>
      <c r="N365" s="76" t="n"/>
    </row>
    <row r="366">
      <c r="C366" s="20" t="n"/>
      <c r="D366" s="20" t="n"/>
      <c r="E366" s="20" t="n"/>
      <c r="N366" s="76" t="n"/>
    </row>
    <row r="367">
      <c r="C367" s="20" t="n"/>
      <c r="D367" s="20" t="n"/>
      <c r="E367" s="20" t="n"/>
      <c r="N367" s="76" t="n"/>
    </row>
    <row r="368">
      <c r="C368" s="20" t="n"/>
      <c r="D368" s="20" t="n"/>
      <c r="E368" s="20" t="n"/>
      <c r="N368" s="76" t="n"/>
    </row>
    <row r="369">
      <c r="C369" s="20" t="n"/>
      <c r="D369" s="20" t="n"/>
      <c r="E369" s="20" t="n"/>
      <c r="N369" s="76" t="n"/>
    </row>
    <row r="370">
      <c r="C370" s="20" t="n"/>
      <c r="D370" s="20" t="n"/>
      <c r="E370" s="20" t="n"/>
      <c r="N370" s="76" t="n"/>
    </row>
    <row r="371">
      <c r="C371" s="20" t="n"/>
      <c r="D371" s="20" t="n"/>
      <c r="E371" s="20" t="n"/>
    </row>
    <row r="372">
      <c r="C372" s="20" t="n"/>
      <c r="D372" s="20" t="n"/>
      <c r="E372" s="20" t="n"/>
    </row>
    <row r="373">
      <c r="C373" s="20" t="n"/>
      <c r="D373" s="20" t="n"/>
      <c r="E373" s="20" t="n"/>
    </row>
    <row r="374">
      <c r="C374" s="20" t="n"/>
      <c r="D374" s="20" t="n"/>
      <c r="E374" s="20" t="n"/>
    </row>
    <row r="375">
      <c r="C375" s="20" t="n"/>
      <c r="D375" s="20" t="n"/>
      <c r="E375" s="20" t="n"/>
    </row>
    <row r="376">
      <c r="C376" s="20" t="n"/>
      <c r="D376" s="20" t="n"/>
      <c r="E376" s="20" t="n"/>
    </row>
    <row r="377">
      <c r="C377" s="20" t="n"/>
      <c r="D377" s="20" t="n"/>
      <c r="E377" s="20" t="n"/>
    </row>
    <row r="378">
      <c r="C378" s="20" t="n"/>
      <c r="D378" s="20" t="n"/>
      <c r="E378" s="20" t="n"/>
    </row>
    <row r="379">
      <c r="C379" s="20" t="n"/>
      <c r="D379" s="20" t="n"/>
      <c r="E379" s="20" t="n"/>
    </row>
    <row r="380" ht="18.75" customHeight="1" s="79">
      <c r="C380" s="20" t="n"/>
      <c r="D380" s="20" t="n"/>
      <c r="E380" s="20" t="n"/>
    </row>
    <row r="381" ht="18.75" customHeight="1" s="79">
      <c r="C381" s="20" t="n"/>
      <c r="D381" s="20" t="n"/>
      <c r="E381" s="20" t="n"/>
    </row>
    <row r="382" ht="18.75" customHeight="1" s="79"/>
    <row r="383">
      <c r="C383" s="20" t="n"/>
      <c r="D383" s="20" t="n"/>
      <c r="E383" s="20" t="n"/>
    </row>
    <row r="384" ht="18" customHeight="1" s="79">
      <c r="C384" s="20" t="n"/>
      <c r="D384" s="20" t="n"/>
      <c r="E384" s="20" t="n"/>
    </row>
    <row r="385" ht="19.5" customHeight="1" s="79">
      <c r="C385" s="20" t="n"/>
      <c r="D385" s="20" t="n"/>
      <c r="E385" s="20" t="n"/>
    </row>
    <row r="386" ht="18.75" customHeight="1" s="79">
      <c r="C386" s="20" t="n"/>
      <c r="D386" s="20" t="n"/>
      <c r="E386" s="20" t="n"/>
    </row>
    <row r="387">
      <c r="C387" s="20" t="n"/>
      <c r="D387" s="20" t="n"/>
      <c r="E387" s="20" t="n"/>
    </row>
    <row r="388" ht="18" customHeight="1" s="79">
      <c r="C388" s="20" t="n"/>
      <c r="D388" s="20" t="n"/>
      <c r="E388" s="20" t="n"/>
    </row>
    <row r="389" ht="19.5" customHeight="1" s="79">
      <c r="C389" s="20" t="n"/>
      <c r="D389" s="20" t="n"/>
      <c r="E389" s="20" t="n"/>
    </row>
    <row r="390" ht="18.75" customHeight="1" s="79">
      <c r="C390" s="20" t="n"/>
      <c r="D390" s="20" t="n"/>
      <c r="E390" s="20" t="n"/>
    </row>
    <row r="391" ht="18.75" customHeight="1" s="79">
      <c r="C391" s="20" t="n"/>
      <c r="D391" s="20" t="n"/>
      <c r="E391" s="20" t="n"/>
    </row>
    <row r="392" ht="19.5" customHeight="1" s="79">
      <c r="C392" s="20" t="n"/>
      <c r="D392" s="20" t="n"/>
      <c r="E392" s="20" t="n"/>
    </row>
    <row r="393" ht="19.5" customHeight="1" s="79">
      <c r="C393" s="20" t="n"/>
      <c r="D393" s="20" t="n"/>
      <c r="E393" s="20" t="n"/>
    </row>
    <row r="394" ht="19.5" customHeight="1" s="79">
      <c r="C394" s="20" t="n"/>
      <c r="D394" s="20" t="n"/>
      <c r="E394" s="20" t="n"/>
    </row>
    <row r="395" ht="19.5" customHeight="1" s="79">
      <c r="C395" s="20" t="n"/>
      <c r="D395" s="20" t="n"/>
      <c r="E395" s="20" t="n"/>
    </row>
    <row r="396" ht="19.5" customHeight="1" s="79">
      <c r="C396" s="20" t="n"/>
      <c r="D396" s="20" t="n"/>
      <c r="E396" s="20" t="n"/>
    </row>
    <row r="397" ht="19.5" customHeight="1" s="79">
      <c r="C397" s="20" t="n"/>
      <c r="D397" s="20" t="n"/>
      <c r="E397" s="20" t="n"/>
    </row>
    <row r="398" ht="18.75" customHeight="1" s="79">
      <c r="C398" s="20" t="n"/>
      <c r="D398" s="20" t="n"/>
      <c r="E398" s="20" t="n"/>
    </row>
    <row r="399" ht="18.75" customHeight="1" s="79">
      <c r="C399" s="20" t="n"/>
      <c r="D399" s="20" t="n"/>
      <c r="E399" s="20" t="n"/>
    </row>
    <row r="400" ht="18.75" customHeight="1" s="79">
      <c r="C400" s="20" t="n"/>
      <c r="D400" s="20" t="n"/>
      <c r="E400" s="20" t="n"/>
    </row>
    <row r="401" ht="18.75" customHeight="1" s="79">
      <c r="C401" s="20" t="n"/>
      <c r="D401" s="20" t="n"/>
      <c r="E401" s="20" t="n"/>
    </row>
    <row r="402" ht="19.5" customHeight="1" s="79">
      <c r="C402" s="20" t="n"/>
      <c r="D402" s="20" t="n"/>
      <c r="E402" s="20" t="n"/>
    </row>
    <row r="403" ht="18" customHeight="1" s="79">
      <c r="C403" s="20" t="n"/>
      <c r="D403" s="20" t="n"/>
      <c r="E403" s="20" t="n"/>
    </row>
    <row r="404" ht="18.75" customHeight="1" s="79">
      <c r="C404" s="20" t="n"/>
      <c r="D404" s="20" t="n"/>
      <c r="E404" s="20" t="n"/>
    </row>
    <row r="405" ht="18.75" customHeight="1" s="79">
      <c r="C405" s="20" t="n"/>
      <c r="D405" s="20" t="n"/>
      <c r="E405" s="20" t="n"/>
    </row>
    <row r="406" ht="18" customHeight="1" s="79">
      <c r="C406" s="20" t="n"/>
      <c r="D406" s="20" t="n"/>
      <c r="E406" s="20" t="n"/>
    </row>
    <row r="407" ht="18.75" customHeight="1" s="79">
      <c r="C407" s="20" t="n"/>
      <c r="D407" s="20" t="n"/>
      <c r="E407" s="20" t="n"/>
    </row>
    <row r="408" ht="19.5" customHeight="1" s="79">
      <c r="C408" s="20" t="n"/>
      <c r="D408" s="20" t="n"/>
      <c r="E408" s="20" t="n"/>
    </row>
    <row r="409" ht="18.75" customHeight="1" s="79">
      <c r="C409" s="20" t="n"/>
      <c r="D409" s="20" t="n"/>
      <c r="E409" s="20" t="n"/>
    </row>
    <row r="410" ht="18" customHeight="1" s="79">
      <c r="C410" s="20" t="n"/>
      <c r="D410" s="20" t="n"/>
      <c r="E410" s="20" t="n"/>
    </row>
    <row r="411" ht="18.75" customHeight="1" s="79">
      <c r="C411" s="20" t="n"/>
      <c r="D411" s="20" t="n"/>
      <c r="E411" s="20" t="n"/>
    </row>
    <row r="412" ht="18.75" customHeight="1" s="79">
      <c r="C412" s="20" t="n"/>
      <c r="D412" s="20" t="n"/>
      <c r="E412" s="20" t="n"/>
    </row>
    <row r="413" ht="19.5" customHeight="1" s="79">
      <c r="C413" s="20" t="n"/>
      <c r="D413" s="20" t="n"/>
      <c r="E413" s="20" t="n"/>
    </row>
    <row r="414" ht="19.5" customHeight="1" s="79">
      <c r="C414" s="20" t="n"/>
      <c r="D414" s="20" t="n"/>
      <c r="E414" s="20" t="n"/>
    </row>
    <row r="415" ht="18" customHeight="1" s="79">
      <c r="C415" s="20" t="n"/>
      <c r="D415" s="20" t="n"/>
      <c r="E415" s="20" t="n"/>
    </row>
    <row r="416" ht="20.25" customHeight="1" s="79">
      <c r="C416" s="20" t="n"/>
      <c r="D416" s="20" t="n"/>
      <c r="E416" s="20" t="n"/>
    </row>
    <row r="417" ht="19.5" customHeight="1" s="79">
      <c r="C417" s="20" t="n"/>
      <c r="D417" s="20" t="n"/>
      <c r="E417" s="20" t="n"/>
    </row>
    <row r="418" ht="18.75" customHeight="1" s="79"/>
    <row r="419" ht="19.5" customHeight="1" s="79">
      <c r="C419" s="20" t="n"/>
      <c r="D419" s="20" t="n"/>
      <c r="E419" s="20" t="n"/>
    </row>
    <row r="420" ht="18.75" customHeight="1" s="79"/>
    <row r="421" ht="18" customHeight="1" s="79"/>
    <row r="422" ht="18.75" customHeight="1" s="79"/>
    <row r="423" ht="19.5" customHeight="1" s="79">
      <c r="C423" s="20" t="n"/>
      <c r="D423" s="20" t="n"/>
      <c r="E423" s="20" t="n"/>
    </row>
    <row r="424" ht="18.75" customHeight="1" s="79"/>
    <row r="425" ht="18.75" customHeight="1" s="79">
      <c r="C425" s="20" t="n"/>
      <c r="D425" s="20" t="n"/>
      <c r="E425" s="20" t="n"/>
    </row>
    <row r="426" ht="18" customHeight="1" s="79">
      <c r="C426" s="20" t="n"/>
      <c r="D426" s="20" t="n"/>
      <c r="E426" s="20" t="n"/>
    </row>
    <row r="427" ht="18.75" customHeight="1" s="79"/>
    <row r="428" ht="18.75" customHeight="1" s="79"/>
    <row r="429" ht="17.25" customHeight="1" s="79">
      <c r="C429" s="20" t="n"/>
      <c r="D429" s="20" t="n"/>
      <c r="E429" s="20" t="n"/>
    </row>
    <row r="430" ht="16.5" customHeight="1" s="79"/>
    <row r="431" ht="20.25" customHeight="1" s="79"/>
    <row r="432" ht="18.75" customHeight="1" s="79">
      <c r="C432" s="20" t="n"/>
      <c r="D432" s="20" t="n"/>
      <c r="E432" s="20" t="n"/>
    </row>
    <row r="433" ht="18.75" customHeight="1" s="79">
      <c r="C433" s="20" t="n"/>
      <c r="D433" s="20" t="n"/>
      <c r="E433" s="20" t="n"/>
    </row>
    <row r="434" ht="19.5" customHeight="1" s="79"/>
    <row r="435">
      <c r="C435" s="20" t="n"/>
      <c r="D435" s="20" t="n"/>
      <c r="E435" s="20" t="n"/>
    </row>
    <row r="436">
      <c r="C436" s="20" t="n"/>
      <c r="D436" s="20" t="n"/>
      <c r="E436" s="20" t="n"/>
    </row>
  </sheetData>
  <autoFilter ref="A4:S434">
    <sortState ref="A148:S170">
      <sortCondition descending="1" ref="B4:B434"/>
    </sortState>
  </autoFilter>
  <pageMargins left="0.7" right="0.7" top="0.75" bottom="0.75" header="0.3" footer="0.3"/>
  <pageSetup orientation="landscape" paperSize="8" scale="67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tabColor rgb="FFEE0000"/>
    <outlinePr summaryBelow="1" summaryRight="1"/>
    <pageSetUpPr/>
  </sheetPr>
  <dimension ref="A1:S125"/>
  <sheetViews>
    <sheetView topLeftCell="B1" workbookViewId="0">
      <selection activeCell="J62" sqref="J62:K62"/>
    </sheetView>
  </sheetViews>
  <sheetFormatPr baseColWidth="8" defaultRowHeight="18.75"/>
  <cols>
    <col width="8.625" bestFit="1" customWidth="1" style="79" min="1" max="1"/>
    <col width="8.125" bestFit="1" customWidth="1" style="79" min="2" max="2"/>
    <col width="15.625" bestFit="1" customWidth="1" style="79" min="4" max="4"/>
    <col width="20.625" bestFit="1" customWidth="1" style="79" min="5" max="5"/>
    <col width="8.625" customWidth="1" style="79" min="6" max="6"/>
    <col width="8.625" customWidth="1" style="1" min="7" max="8"/>
    <col width="6.625" bestFit="1" customWidth="1" style="9" min="10" max="10"/>
    <col width="20" bestFit="1" customWidth="1" style="9" min="11" max="11"/>
    <col width="76.625" bestFit="1" customWidth="1" style="1" min="12" max="12"/>
    <col width="12.125" bestFit="1" customWidth="1" style="1" min="14" max="14"/>
    <col width="9" customWidth="1" style="1" min="15" max="15"/>
    <col width="15" bestFit="1" customWidth="1" style="1" min="17" max="17"/>
    <col width="9" customWidth="1" style="1" min="19" max="19"/>
  </cols>
  <sheetData>
    <row r="1">
      <c r="A1" s="1" t="inlineStr">
        <is>
          <t>職種</t>
        </is>
      </c>
      <c r="B1" s="1" t="inlineStr">
        <is>
          <t>単価(円)</t>
        </is>
      </c>
      <c r="D1" s="5" t="inlineStr">
        <is>
          <t>日付</t>
        </is>
      </c>
      <c r="E1" s="5" t="inlineStr">
        <is>
          <t>内容</t>
        </is>
      </c>
      <c r="F1" s="7" t="n"/>
      <c r="G1" s="5" t="inlineStr">
        <is>
          <t>作業者</t>
        </is>
      </c>
      <c r="H1" s="5" t="inlineStr">
        <is>
          <t>職務</t>
        </is>
      </c>
      <c r="J1" s="2" t="inlineStr">
        <is>
          <t>区分</t>
        </is>
      </c>
      <c r="K1" s="2" t="inlineStr">
        <is>
          <t>業務名(略)</t>
        </is>
      </c>
      <c r="L1" s="2" t="inlineStr">
        <is>
          <t>業務名</t>
        </is>
      </c>
      <c r="M1" s="6" t="n"/>
      <c r="N1" s="9" t="inlineStr">
        <is>
          <t>ソフト・機材</t>
        </is>
      </c>
      <c r="O1" s="9" t="inlineStr">
        <is>
          <t>料金</t>
        </is>
      </c>
      <c r="P1" s="6" t="n"/>
      <c r="Q1" s="9" t="inlineStr">
        <is>
          <t>車両</t>
        </is>
      </c>
      <c r="S1" s="2" t="inlineStr">
        <is>
          <t>移動方法</t>
        </is>
      </c>
    </row>
    <row r="2">
      <c r="A2" s="1" t="inlineStr">
        <is>
          <t>測量技師</t>
        </is>
      </c>
      <c r="B2" s="1" t="n">
        <v>34800</v>
      </c>
      <c r="D2" s="80" t="n">
        <v>46023</v>
      </c>
      <c r="E2" s="8" t="inlineStr">
        <is>
          <t>元日</t>
        </is>
      </c>
      <c r="F2" s="4" t="inlineStr">
        <is>
          <t>休</t>
        </is>
      </c>
      <c r="G2" s="8" t="inlineStr">
        <is>
          <t>荒木</t>
        </is>
      </c>
      <c r="H2" s="8" t="inlineStr">
        <is>
          <t>技師</t>
        </is>
      </c>
      <c r="J2" s="9" t="inlineStr">
        <is>
          <t>事務</t>
        </is>
      </c>
      <c r="K2" s="9" t="inlineStr">
        <is>
          <t>事務</t>
        </is>
      </c>
      <c r="L2" s="1" t="inlineStr">
        <is>
          <t>事務作業</t>
        </is>
      </c>
      <c r="M2" s="6" t="n"/>
      <c r="N2" s="1" t="inlineStr">
        <is>
          <t>なし</t>
        </is>
      </c>
      <c r="O2" s="9" t="inlineStr">
        <is>
          <t>-</t>
        </is>
      </c>
      <c r="P2" s="16" t="n"/>
      <c r="Q2" s="1" t="inlineStr">
        <is>
          <t>なし</t>
        </is>
      </c>
      <c r="S2" s="1" t="inlineStr">
        <is>
          <t>下道</t>
        </is>
      </c>
    </row>
    <row r="3">
      <c r="A3" s="1" t="inlineStr">
        <is>
          <t>測量助手</t>
        </is>
      </c>
      <c r="B3" s="1" t="n">
        <v>28000</v>
      </c>
      <c r="D3" s="80" t="n">
        <v>46024</v>
      </c>
      <c r="E3" s="8" t="inlineStr">
        <is>
          <t>元日</t>
        </is>
      </c>
      <c r="F3" s="4" t="inlineStr">
        <is>
          <t>休</t>
        </is>
      </c>
      <c r="G3" s="8" t="inlineStr">
        <is>
          <t>竹本</t>
        </is>
      </c>
      <c r="H3" s="8" t="inlineStr">
        <is>
          <t>技師</t>
        </is>
      </c>
      <c r="J3" s="9" t="inlineStr">
        <is>
          <t>営業</t>
        </is>
      </c>
      <c r="K3" s="9" t="inlineStr">
        <is>
          <t>営業</t>
        </is>
      </c>
      <c r="L3" s="1" t="inlineStr">
        <is>
          <t>単発の打合せ(iシステム月例)、YouTube更新、チラシ作成などの営業活動</t>
        </is>
      </c>
      <c r="M3" s="6" t="n"/>
      <c r="N3" s="10" t="inlineStr">
        <is>
          <t>武蔵</t>
        </is>
      </c>
      <c r="O3" s="15" t="n">
        <v>480</v>
      </c>
      <c r="P3" s="16" t="n"/>
      <c r="Q3" s="12" t="inlineStr">
        <is>
          <t>ステップワゴン</t>
        </is>
      </c>
      <c r="S3" s="1" t="inlineStr">
        <is>
          <t>高速</t>
        </is>
      </c>
    </row>
    <row r="4">
      <c r="D4" s="80" t="n">
        <v>46025</v>
      </c>
      <c r="E4" s="8" t="inlineStr">
        <is>
          <t>元日</t>
        </is>
      </c>
      <c r="F4" s="4" t="inlineStr">
        <is>
          <t>休</t>
        </is>
      </c>
      <c r="G4" s="8" t="inlineStr">
        <is>
          <t>内藤</t>
        </is>
      </c>
      <c r="H4" s="8" t="inlineStr">
        <is>
          <t>助手</t>
        </is>
      </c>
      <c r="J4" s="9" t="inlineStr">
        <is>
          <t>研修</t>
        </is>
      </c>
      <c r="K4" s="9" t="inlineStr">
        <is>
          <t>研修</t>
        </is>
      </c>
      <c r="L4" s="1" t="inlineStr">
        <is>
          <t>ソフトの練習、講習など</t>
        </is>
      </c>
      <c r="M4" s="6" t="n"/>
      <c r="N4" s="10" t="inlineStr">
        <is>
          <t>Trend-Point</t>
        </is>
      </c>
      <c r="O4" s="15" t="n">
        <v>600</v>
      </c>
      <c r="P4" s="16" t="n"/>
      <c r="Q4" s="12" t="inlineStr">
        <is>
          <t>ハイエース</t>
        </is>
      </c>
    </row>
    <row r="5">
      <c r="D5" s="80" t="n">
        <v>46034</v>
      </c>
      <c r="E5" s="8" t="inlineStr">
        <is>
          <t>成人の日</t>
        </is>
      </c>
      <c r="F5" s="4" t="inlineStr">
        <is>
          <t>休</t>
        </is>
      </c>
      <c r="G5" s="8" t="inlineStr">
        <is>
          <t>金本</t>
        </is>
      </c>
      <c r="H5" s="8" t="inlineStr">
        <is>
          <t>助手</t>
        </is>
      </c>
      <c r="J5" s="9" t="inlineStr">
        <is>
          <t>IS</t>
        </is>
      </c>
      <c r="K5" s="9" t="inlineStr">
        <is>
          <t>インターン</t>
        </is>
      </c>
      <c r="L5" s="1" t="inlineStr">
        <is>
          <t>インターンシップ</t>
        </is>
      </c>
      <c r="M5" s="6" t="n"/>
      <c r="N5" s="10" t="inlineStr">
        <is>
          <t>Trend-CORE</t>
        </is>
      </c>
      <c r="O5" s="15" t="n">
        <v>300</v>
      </c>
      <c r="P5" s="16" t="n"/>
      <c r="Q5" s="9" t="n"/>
    </row>
    <row r="6">
      <c r="D6" s="80" t="n">
        <v>46064</v>
      </c>
      <c r="E6" s="8" t="inlineStr">
        <is>
          <t>建国記念の日</t>
        </is>
      </c>
      <c r="F6" s="4" t="inlineStr">
        <is>
          <t>休</t>
        </is>
      </c>
      <c r="G6" s="8" t="inlineStr">
        <is>
          <t>フック</t>
        </is>
      </c>
      <c r="H6" s="8" t="inlineStr">
        <is>
          <t>助手</t>
        </is>
      </c>
      <c r="J6" s="9" t="inlineStr">
        <is>
          <t>機器</t>
        </is>
      </c>
      <c r="K6" s="9" t="inlineStr">
        <is>
          <t>機器関係</t>
        </is>
      </c>
      <c r="L6" s="1" t="inlineStr">
        <is>
          <t>PCの設定、測量機器関係、ドローン関係（Analyzer05以外）</t>
        </is>
      </c>
      <c r="M6" s="6" t="n"/>
      <c r="N6" s="10" t="inlineStr">
        <is>
          <t>AUTODESK</t>
        </is>
      </c>
      <c r="O6" s="15" t="n">
        <v>1750</v>
      </c>
      <c r="P6" s="16" t="n"/>
      <c r="Q6" s="9" t="n"/>
    </row>
    <row r="7">
      <c r="D7" s="80" t="n">
        <v>46076</v>
      </c>
      <c r="E7" s="8" t="inlineStr">
        <is>
          <t>天皇誕生日</t>
        </is>
      </c>
      <c r="F7" s="4" t="inlineStr">
        <is>
          <t>休</t>
        </is>
      </c>
      <c r="G7" s="8" t="inlineStr">
        <is>
          <t>タイ</t>
        </is>
      </c>
      <c r="H7" s="8" t="inlineStr">
        <is>
          <t>助手</t>
        </is>
      </c>
      <c r="J7" s="9" t="inlineStr">
        <is>
          <t>車</t>
        </is>
      </c>
      <c r="K7" s="9" t="inlineStr">
        <is>
          <t>車関係</t>
        </is>
      </c>
      <c r="L7" s="1" t="inlineStr">
        <is>
          <t>点検、ガソリン、洗車など</t>
        </is>
      </c>
      <c r="M7" s="6" t="n"/>
      <c r="N7" s="10" t="inlineStr">
        <is>
          <t>SCENE</t>
        </is>
      </c>
      <c r="O7" s="15" t="n">
        <v>550</v>
      </c>
      <c r="P7" s="16" t="n"/>
      <c r="Q7" s="9" t="n"/>
    </row>
    <row r="8">
      <c r="D8" s="80" t="n">
        <v>46101</v>
      </c>
      <c r="E8" s="8" t="inlineStr">
        <is>
          <t>春分の日</t>
        </is>
      </c>
      <c r="F8" s="4" t="inlineStr">
        <is>
          <t>休</t>
        </is>
      </c>
      <c r="G8" s="8" t="inlineStr">
        <is>
          <t>村上</t>
        </is>
      </c>
      <c r="H8" s="8" t="inlineStr">
        <is>
          <t>助手</t>
        </is>
      </c>
      <c r="J8" s="9" t="inlineStr">
        <is>
          <t>開発</t>
        </is>
      </c>
      <c r="K8" s="9" t="inlineStr">
        <is>
          <t>開発関係</t>
        </is>
      </c>
      <c r="L8" s="1" t="inlineStr">
        <is>
          <t>システム、プログラムなど</t>
        </is>
      </c>
      <c r="M8" s="6" t="n"/>
      <c r="N8" s="10" t="inlineStr">
        <is>
          <t>Metashape</t>
        </is>
      </c>
      <c r="O8" s="15" t="n">
        <v>340</v>
      </c>
      <c r="P8" s="16" t="n"/>
      <c r="Q8" s="9" t="n"/>
    </row>
    <row r="9">
      <c r="D9" s="80" t="n">
        <v>46141</v>
      </c>
      <c r="E9" s="8" t="inlineStr">
        <is>
          <t>昭和の日</t>
        </is>
      </c>
      <c r="F9" s="4" t="inlineStr">
        <is>
          <t>休</t>
        </is>
      </c>
      <c r="G9" s="8" t="inlineStr">
        <is>
          <t>仲</t>
        </is>
      </c>
      <c r="H9" s="8" t="inlineStr">
        <is>
          <t>助手</t>
        </is>
      </c>
      <c r="J9" s="9" t="inlineStr">
        <is>
          <t>VT01</t>
        </is>
      </c>
      <c r="K9" s="9" t="inlineStr">
        <is>
          <t>駐在所</t>
        </is>
      </c>
      <c r="L9" s="1" t="inlineStr">
        <is>
          <t>ベトナムオンラインなど</t>
        </is>
      </c>
      <c r="M9" s="6" t="n"/>
      <c r="N9" s="10" t="inlineStr">
        <is>
          <t>Inspire2</t>
        </is>
      </c>
      <c r="O9" s="15" t="n">
        <v>240</v>
      </c>
      <c r="P9" s="16" t="n"/>
      <c r="Q9" s="9" t="n"/>
    </row>
    <row r="10">
      <c r="D10" s="80" t="n">
        <v>46145</v>
      </c>
      <c r="E10" s="8" t="inlineStr">
        <is>
          <t>憲法記念日</t>
        </is>
      </c>
      <c r="F10" s="4" t="inlineStr">
        <is>
          <t>休</t>
        </is>
      </c>
      <c r="G10" s="8" t="inlineStr">
        <is>
          <t>天野</t>
        </is>
      </c>
      <c r="H10" s="8" t="inlineStr">
        <is>
          <t>助手</t>
        </is>
      </c>
      <c r="J10" s="9" t="inlineStr">
        <is>
          <t>VT05</t>
        </is>
      </c>
      <c r="K10" s="9" t="inlineStr">
        <is>
          <t>法人化</t>
        </is>
      </c>
      <c r="L10" s="1" t="inlineStr">
        <is>
          <t>ベトナム法人化</t>
        </is>
      </c>
      <c r="M10" s="6" t="n"/>
      <c r="N10" s="10" t="inlineStr">
        <is>
          <t>ANA01</t>
        </is>
      </c>
      <c r="O10" s="15" t="n">
        <v>2050</v>
      </c>
      <c r="P10" s="16" t="n"/>
      <c r="Q10" s="9" t="n"/>
    </row>
    <row r="11">
      <c r="D11" s="80" t="n">
        <v>46146</v>
      </c>
      <c r="E11" s="8" t="inlineStr">
        <is>
          <t>みどりの日</t>
        </is>
      </c>
      <c r="F11" s="4" t="inlineStr">
        <is>
          <t>休</t>
        </is>
      </c>
      <c r="G11" s="8" t="inlineStr">
        <is>
          <t>人見</t>
        </is>
      </c>
      <c r="H11" s="8" t="inlineStr">
        <is>
          <t>助手</t>
        </is>
      </c>
      <c r="J11" s="9" t="inlineStr">
        <is>
          <t>EA45</t>
        </is>
      </c>
      <c r="K11" s="9" t="inlineStr">
        <is>
          <t>北陸</t>
        </is>
      </c>
      <c r="L11" s="1" t="inlineStr">
        <is>
          <t>北陸自動車道　橋梁支承補強工事(日本ピーエス)</t>
        </is>
      </c>
      <c r="M11" s="6" t="n"/>
      <c r="N11" s="10" t="inlineStr">
        <is>
          <t>ボート</t>
        </is>
      </c>
      <c r="O11" s="15" t="n">
        <v>4920</v>
      </c>
      <c r="P11" s="16" t="n"/>
      <c r="Q11" s="9" t="n"/>
    </row>
    <row r="12">
      <c r="D12" s="80" t="n">
        <v>46147</v>
      </c>
      <c r="E12" s="8" t="inlineStr">
        <is>
          <t>こどもの日</t>
        </is>
      </c>
      <c r="F12" s="4" t="inlineStr">
        <is>
          <t>休</t>
        </is>
      </c>
      <c r="G12" s="1" t="inlineStr">
        <is>
          <t>南</t>
        </is>
      </c>
      <c r="H12" s="8" t="inlineStr">
        <is>
          <t>助手</t>
        </is>
      </c>
      <c r="J12" s="9" t="inlineStr">
        <is>
          <t>EA88</t>
        </is>
      </c>
      <c r="K12" s="9" t="inlineStr">
        <is>
          <t>天ヶ瀬ダム</t>
        </is>
      </c>
      <c r="L12" s="1" t="inlineStr">
        <is>
          <t>天ヶ瀬ダム護岸復旧工事（第一土木）</t>
        </is>
      </c>
      <c r="M12" s="6" t="n"/>
      <c r="N12" s="10" t="inlineStr">
        <is>
          <t>IMU</t>
        </is>
      </c>
      <c r="O12" s="15" t="n">
        <v>6030</v>
      </c>
      <c r="P12" s="16" t="n"/>
      <c r="Q12" s="9" t="n"/>
    </row>
    <row r="13">
      <c r="D13" s="80" t="n">
        <v>46148</v>
      </c>
      <c r="E13" s="8" t="inlineStr">
        <is>
          <t>振替休日</t>
        </is>
      </c>
      <c r="F13" s="4" t="inlineStr">
        <is>
          <t>休</t>
        </is>
      </c>
      <c r="G13" s="8" t="inlineStr">
        <is>
          <t>杉本</t>
        </is>
      </c>
      <c r="H13" s="8" t="inlineStr">
        <is>
          <t>助手</t>
        </is>
      </c>
      <c r="J13" s="9" t="inlineStr">
        <is>
          <t>EA91</t>
        </is>
      </c>
      <c r="K13" s="9" t="inlineStr">
        <is>
          <t>冷水地区</t>
        </is>
      </c>
      <c r="L13" s="1" t="inlineStr">
        <is>
          <t>冷水地区北西部斜面対策工事(安藤ハザマ)</t>
        </is>
      </c>
      <c r="M13" s="6" t="n"/>
      <c r="N13" s="10" t="inlineStr">
        <is>
          <t>FARO</t>
        </is>
      </c>
      <c r="O13" s="15" t="n">
        <v>9340</v>
      </c>
      <c r="P13" s="6" t="n"/>
      <c r="Q13" s="9" t="n"/>
    </row>
    <row r="14">
      <c r="D14" s="80" t="n">
        <v>46223</v>
      </c>
      <c r="E14" s="8" t="inlineStr">
        <is>
          <t>海の日</t>
        </is>
      </c>
      <c r="F14" s="4" t="inlineStr">
        <is>
          <t>休</t>
        </is>
      </c>
      <c r="G14" s="8" t="inlineStr">
        <is>
          <t>ズイ</t>
        </is>
      </c>
      <c r="H14" s="8" t="inlineStr">
        <is>
          <t>助手</t>
        </is>
      </c>
      <c r="J14" s="9" t="inlineStr">
        <is>
          <t>EA94</t>
        </is>
      </c>
      <c r="K14" s="9" t="inlineStr">
        <is>
          <t>なにわ筋</t>
        </is>
      </c>
      <c r="L14" s="1" t="inlineStr">
        <is>
          <t>なにわ筋線西本町駅（錢高組）</t>
        </is>
      </c>
      <c r="M14" s="6" t="n"/>
      <c r="N14" s="10" t="inlineStr">
        <is>
          <t>TerraceAR</t>
        </is>
      </c>
      <c r="O14" s="9" t="inlineStr">
        <is>
          <t>-</t>
        </is>
      </c>
      <c r="P14" s="6" t="n"/>
      <c r="Q14" s="9" t="n"/>
    </row>
    <row r="15">
      <c r="D15" s="80" t="n">
        <v>46245</v>
      </c>
      <c r="E15" s="8" t="inlineStr">
        <is>
          <t>山の日</t>
        </is>
      </c>
      <c r="F15" s="4" t="inlineStr">
        <is>
          <t>休</t>
        </is>
      </c>
      <c r="G15" s="8" t="inlineStr">
        <is>
          <t>バタイ</t>
        </is>
      </c>
      <c r="H15" s="8" t="inlineStr">
        <is>
          <t>助手</t>
        </is>
      </c>
      <c r="J15" s="9" t="inlineStr">
        <is>
          <t>EA96</t>
        </is>
      </c>
      <c r="K15" s="9" t="inlineStr">
        <is>
          <t>新都市</t>
        </is>
      </c>
      <c r="L15" s="1" t="inlineStr">
        <is>
          <t>近畿地整_新都市研究会（大西先生・小山先生）</t>
        </is>
      </c>
      <c r="M15" s="6" t="n"/>
      <c r="N15" s="10" t="inlineStr">
        <is>
          <t>mixpace</t>
        </is>
      </c>
      <c r="O15" s="9" t="inlineStr">
        <is>
          <t>-</t>
        </is>
      </c>
      <c r="P15" s="6" t="n"/>
      <c r="Q15" s="9" t="n"/>
    </row>
    <row r="16">
      <c r="D16" s="80" t="n">
        <v>46286</v>
      </c>
      <c r="E16" s="8" t="inlineStr">
        <is>
          <t>敬老の日</t>
        </is>
      </c>
      <c r="F16" s="4" t="inlineStr">
        <is>
          <t>休</t>
        </is>
      </c>
      <c r="G16" s="1" t="inlineStr">
        <is>
          <t>千原</t>
        </is>
      </c>
      <c r="H16" s="8" t="inlineStr">
        <is>
          <t>助手</t>
        </is>
      </c>
      <c r="J16" s="9" t="inlineStr">
        <is>
          <t>EA97</t>
        </is>
      </c>
      <c r="K16" s="9" t="inlineStr">
        <is>
          <t>西シールド</t>
        </is>
      </c>
      <c r="L16" s="1" t="inlineStr">
        <is>
          <t>国道9号京都西シールド工事（五洋建設－栗山）</t>
        </is>
      </c>
      <c r="M16" s="6" t="n"/>
      <c r="N16" s="10" t="n"/>
      <c r="O16" s="9" t="n"/>
      <c r="P16" s="6" t="n"/>
      <c r="Q16" s="9" t="n"/>
    </row>
    <row r="17">
      <c r="D17" s="80" t="n">
        <v>46288</v>
      </c>
      <c r="E17" s="8" t="inlineStr">
        <is>
          <t>秋分の日</t>
        </is>
      </c>
      <c r="F17" s="4" t="inlineStr">
        <is>
          <t>休</t>
        </is>
      </c>
      <c r="G17" s="1" t="inlineStr">
        <is>
          <t>坂田</t>
        </is>
      </c>
      <c r="H17" s="8" t="inlineStr">
        <is>
          <t>助手</t>
        </is>
      </c>
      <c r="J17" s="9" t="inlineStr">
        <is>
          <t>EA98</t>
        </is>
      </c>
      <c r="K17" s="9" t="inlineStr">
        <is>
          <t>城陽</t>
        </is>
      </c>
      <c r="L17" s="1" t="inlineStr">
        <is>
          <t>城陽井手木津川バイパス才田川橋A2下部工事（丹波建設）</t>
        </is>
      </c>
      <c r="M17" s="6" t="n"/>
      <c r="N17" s="10" t="n"/>
      <c r="O17" s="9" t="n"/>
      <c r="P17" s="6" t="n"/>
      <c r="Q17" s="9" t="n"/>
    </row>
    <row r="18">
      <c r="D18" s="80" t="n">
        <v>46307</v>
      </c>
      <c r="E18" s="8" t="inlineStr">
        <is>
          <t>スポーツの日</t>
        </is>
      </c>
      <c r="F18" s="4" t="inlineStr">
        <is>
          <t>休</t>
        </is>
      </c>
      <c r="G18" s="8" t="n"/>
      <c r="H18" s="8" t="n"/>
      <c r="J18" s="9" t="inlineStr">
        <is>
          <t>EA105</t>
        </is>
      </c>
      <c r="K18" s="9" t="inlineStr">
        <is>
          <t>鳥居水門</t>
        </is>
      </c>
      <c r="L18" s="1" t="inlineStr">
        <is>
          <t>和歌山下津港海岸(海南地区)鳥居水門・護岸等築造工事（五洋建設ー玉井）</t>
        </is>
      </c>
      <c r="M18" s="6" t="n"/>
      <c r="N18" s="9" t="n"/>
      <c r="O18" s="9" t="n"/>
      <c r="P18" s="6" t="n"/>
      <c r="Q18" s="9" t="n"/>
    </row>
    <row r="19">
      <c r="D19" s="80" t="n">
        <v>46329</v>
      </c>
      <c r="E19" s="8" t="inlineStr">
        <is>
          <t>文化の日</t>
        </is>
      </c>
      <c r="F19" s="4" t="inlineStr">
        <is>
          <t>休</t>
        </is>
      </c>
      <c r="G19" s="8" t="n"/>
      <c r="H19" s="8" t="n"/>
      <c r="J19" s="9" t="inlineStr">
        <is>
          <t>EA106</t>
        </is>
      </c>
      <c r="K19" s="9" t="inlineStr">
        <is>
          <t>国道9号京都西</t>
        </is>
      </c>
      <c r="L19" s="1" t="inlineStr">
        <is>
          <t>国道9号京都西共同溝到達立坑出入口部他工事（第一土木）</t>
        </is>
      </c>
      <c r="M19" s="6" t="n"/>
      <c r="N19" s="9" t="n"/>
      <c r="O19" s="9" t="n"/>
      <c r="P19" s="6" t="n"/>
      <c r="Q19" s="9" t="n"/>
    </row>
    <row r="20">
      <c r="D20" s="80" t="n"/>
      <c r="E20" s="8" t="n"/>
      <c r="F20" s="4" t="n"/>
      <c r="G20" s="8" t="n"/>
      <c r="H20" s="8" t="n"/>
      <c r="J20" s="9" t="inlineStr">
        <is>
          <t>EA108</t>
        </is>
      </c>
      <c r="K20" s="9" t="inlineStr">
        <is>
          <t>笠岡</t>
        </is>
      </c>
      <c r="L20" s="1" t="inlineStr">
        <is>
          <t>玉島笠岡道路西大島新田橋（日本ピーエス-児玉）</t>
        </is>
      </c>
      <c r="M20" s="6" t="n"/>
      <c r="N20" s="9" t="n"/>
      <c r="O20" s="9" t="n"/>
      <c r="P20" s="6" t="n"/>
      <c r="Q20" s="9" t="n"/>
    </row>
    <row r="21">
      <c r="D21" s="80" t="n"/>
      <c r="E21" s="8" t="n"/>
      <c r="F21" s="4" t="n"/>
      <c r="G21" s="8" t="n"/>
      <c r="H21" s="8" t="n"/>
      <c r="J21" s="9" t="inlineStr">
        <is>
          <t>EA109</t>
        </is>
      </c>
      <c r="K21" s="9" t="inlineStr">
        <is>
          <t>荒川</t>
        </is>
      </c>
      <c r="L21" s="1" t="inlineStr">
        <is>
          <t>荒川河口橋ＢIMCIM（丸重屋）</t>
        </is>
      </c>
      <c r="M21" s="6" t="n"/>
      <c r="N21" s="9" t="n"/>
      <c r="O21" s="9" t="n"/>
      <c r="P21" s="6" t="n"/>
      <c r="Q21" s="9" t="n"/>
    </row>
    <row r="22">
      <c r="D22" s="80" t="n"/>
      <c r="E22" s="8" t="n"/>
      <c r="F22" s="4" t="n"/>
      <c r="G22" s="8" t="n"/>
      <c r="H22" s="8" t="n"/>
      <c r="J22" s="9" t="inlineStr">
        <is>
          <t>EA111</t>
        </is>
      </c>
      <c r="K22" s="9" t="inlineStr">
        <is>
          <t>藤白水門</t>
        </is>
      </c>
      <c r="L22" s="1" t="inlineStr">
        <is>
          <t>和歌山下津港海岸(海南地区)藤白水門・護岸等築造工事（五洋建設－鈴木）</t>
        </is>
      </c>
      <c r="M22" s="6" t="n"/>
      <c r="N22" s="9" t="n"/>
      <c r="O22" s="9" t="n"/>
      <c r="P22" s="6" t="n"/>
      <c r="Q22" s="9" t="n"/>
    </row>
    <row r="23">
      <c r="D23" s="80" t="n"/>
      <c r="E23" s="8" t="n"/>
      <c r="F23" s="4" t="n"/>
      <c r="G23" s="8" t="n"/>
      <c r="H23" s="8" t="n"/>
      <c r="J23" s="9" t="inlineStr">
        <is>
          <t>EA112</t>
        </is>
      </c>
      <c r="K23" s="9" t="inlineStr">
        <is>
          <t>田辺</t>
        </is>
      </c>
      <c r="L23" s="1" t="inlineStr">
        <is>
          <t>田辺排水機場新築工事（第一土木）</t>
        </is>
      </c>
      <c r="M23" s="6" t="n"/>
      <c r="N23" s="9" t="n"/>
      <c r="O23" s="9" t="n"/>
      <c r="P23" s="6" t="n"/>
      <c r="Q23" s="9" t="n"/>
    </row>
    <row r="24">
      <c r="D24" s="80" t="n"/>
      <c r="E24" s="8" t="n"/>
      <c r="F24" s="4" t="n"/>
      <c r="G24" s="8" t="n"/>
      <c r="H24" s="8" t="n"/>
      <c r="J24" s="9" t="inlineStr">
        <is>
          <t>EA119</t>
        </is>
      </c>
      <c r="K24" s="9" t="inlineStr">
        <is>
          <t>藤白3-B</t>
        </is>
      </c>
      <c r="L24" s="1" t="inlineStr">
        <is>
          <t>和歌山下津港海岸(海南地区)藤白護岸(第3-B工区)等築造工事（五洋建設ー吉田）</t>
        </is>
      </c>
      <c r="M24" s="6" t="n"/>
      <c r="N24" s="9" t="n"/>
      <c r="O24" s="9" t="n"/>
      <c r="P24" s="6" t="n"/>
      <c r="Q24" s="9" t="n"/>
    </row>
    <row r="25">
      <c r="D25" s="80" t="n"/>
      <c r="E25" s="8" t="n"/>
      <c r="F25" s="4" t="n"/>
      <c r="G25" s="8" t="n"/>
      <c r="H25" s="8" t="n"/>
      <c r="J25" s="9" t="inlineStr">
        <is>
          <t>EA125</t>
        </is>
      </c>
      <c r="K25" s="9" t="inlineStr">
        <is>
          <t>黒部渓谷</t>
        </is>
      </c>
      <c r="L25" s="1" t="inlineStr">
        <is>
          <t>黒部渓谷計測案件（関西電力水力センター）</t>
        </is>
      </c>
      <c r="M25" s="6" t="n"/>
      <c r="N25" s="9" t="n"/>
      <c r="O25" s="9" t="n"/>
      <c r="P25" s="6" t="n"/>
      <c r="Q25" s="9" t="n"/>
    </row>
    <row r="26">
      <c r="D26" s="80" t="n"/>
      <c r="E26" s="8" t="n"/>
      <c r="F26" s="4" t="n"/>
      <c r="G26" s="8" t="n"/>
      <c r="H26" s="8" t="n"/>
      <c r="J26" s="9" t="inlineStr">
        <is>
          <t>EA129</t>
        </is>
      </c>
      <c r="K26" s="9" t="inlineStr">
        <is>
          <t>展示会</t>
        </is>
      </c>
      <c r="L26" s="1" t="inlineStr">
        <is>
          <t>インフラメンテナンス国民会議　近畿本部フォーラム2025</t>
        </is>
      </c>
      <c r="M26" s="6" t="n"/>
      <c r="N26" s="9" t="n"/>
      <c r="O26" s="9" t="n"/>
      <c r="P26" s="6" t="n"/>
      <c r="Q26" s="9" t="n"/>
    </row>
    <row r="27">
      <c r="D27" s="80" t="n"/>
      <c r="E27" s="8" t="n"/>
      <c r="F27" s="4" t="n"/>
      <c r="G27" s="8" t="n"/>
      <c r="H27" s="8" t="n"/>
      <c r="J27" s="9" t="inlineStr">
        <is>
          <t>EA130</t>
        </is>
      </c>
      <c r="K27" s="9" t="inlineStr">
        <is>
          <t>福山港</t>
        </is>
      </c>
      <c r="L27" s="1" t="inlineStr">
        <is>
          <t>福山港箕島地区泊地(-12m)浚渫工事(その2)（天野産業）</t>
        </is>
      </c>
      <c r="M27" s="6" t="n"/>
      <c r="N27" s="9" t="n"/>
      <c r="O27" s="9" t="n"/>
      <c r="P27" s="6" t="n"/>
      <c r="Q27" s="9" t="n"/>
    </row>
    <row r="28">
      <c r="D28" s="80" t="n"/>
      <c r="E28" s="8" t="n"/>
      <c r="F28" s="4" t="n"/>
      <c r="G28" s="8" t="n"/>
      <c r="H28" s="8" t="n"/>
      <c r="J28" s="9" t="inlineStr">
        <is>
          <t>EA131</t>
        </is>
      </c>
      <c r="K28" s="9" t="inlineStr">
        <is>
          <t>福井第4</t>
        </is>
      </c>
      <c r="L28" s="1" t="inlineStr">
        <is>
          <t>福井第4(橋梁)地区(二州地区)業務委託（クモノス）</t>
        </is>
      </c>
      <c r="M28" s="6" t="n"/>
      <c r="N28" s="9" t="n"/>
      <c r="O28" s="9" t="n"/>
      <c r="P28" s="6" t="n"/>
      <c r="Q28" s="9" t="n"/>
    </row>
    <row r="29">
      <c r="D29" s="80" t="n"/>
      <c r="E29" s="8" t="n"/>
      <c r="F29" s="4" t="n"/>
      <c r="G29" s="8" t="n"/>
      <c r="H29" s="8" t="n"/>
      <c r="J29" s="9" t="inlineStr">
        <is>
          <t>EA134</t>
        </is>
      </c>
      <c r="K29" s="9" t="inlineStr">
        <is>
          <t>教材作成</t>
        </is>
      </c>
      <c r="L29" s="1" t="inlineStr">
        <is>
          <t>なにわ筋_社員教育用教材作成（錢高組）</t>
        </is>
      </c>
      <c r="M29" s="6" t="n"/>
      <c r="N29" s="9" t="n"/>
      <c r="O29" s="9" t="n"/>
      <c r="P29" s="6" t="n"/>
      <c r="Q29" s="9" t="n"/>
    </row>
    <row r="30">
      <c r="D30" s="80" t="n"/>
      <c r="E30" s="8" t="n"/>
      <c r="F30" s="4" t="n"/>
      <c r="G30" s="8" t="n"/>
      <c r="H30" s="8" t="n"/>
      <c r="J30" s="9" t="inlineStr">
        <is>
          <t>EA136</t>
        </is>
      </c>
      <c r="K30" s="9" t="inlineStr">
        <is>
          <t>DX大賞(第一)</t>
        </is>
      </c>
      <c r="L30" s="1" t="inlineStr">
        <is>
          <t>R7インフラDX大賞（第一土木）</t>
        </is>
      </c>
    </row>
    <row r="31">
      <c r="D31" s="80" t="n"/>
      <c r="E31" s="8" t="n"/>
      <c r="F31" s="4" t="n"/>
      <c r="G31" s="8" t="n"/>
      <c r="H31" s="8" t="n"/>
      <c r="J31" s="9" t="inlineStr">
        <is>
          <t>EA137</t>
        </is>
      </c>
      <c r="K31" s="9" t="inlineStr">
        <is>
          <t>DX大賞(錢高)</t>
        </is>
      </c>
      <c r="L31" s="1" t="inlineStr">
        <is>
          <t>R7インフラDX大賞（錢高組）</t>
        </is>
      </c>
    </row>
    <row r="32">
      <c r="D32" s="80" t="n"/>
      <c r="E32" s="8" t="n"/>
      <c r="F32" s="4" t="n"/>
      <c r="G32" s="8" t="n"/>
      <c r="H32" s="8" t="n"/>
      <c r="J32" s="9" t="inlineStr">
        <is>
          <t>EA138</t>
        </is>
      </c>
      <c r="K32" s="9" t="inlineStr">
        <is>
          <t>DX大賞(昭第JV)</t>
        </is>
      </c>
      <c r="L32" s="1" t="inlineStr">
        <is>
          <t>R7インフラDX大賞（昭和＆第一土木JV）</t>
        </is>
      </c>
    </row>
    <row r="33">
      <c r="D33" s="80" t="n"/>
      <c r="E33" s="8" t="n"/>
      <c r="F33" s="4" t="n"/>
      <c r="G33" s="8" t="n"/>
      <c r="H33" s="8" t="n"/>
      <c r="J33" s="9" t="inlineStr">
        <is>
          <t>EA139</t>
        </is>
      </c>
      <c r="K33" s="9" t="inlineStr">
        <is>
          <t>神戸西</t>
        </is>
      </c>
      <c r="L33" s="1" t="inlineStr">
        <is>
          <t>神戸西バイパス菅野高架橋（日本ピーエス）</t>
        </is>
      </c>
    </row>
    <row r="34">
      <c r="D34" s="80" t="n"/>
      <c r="E34" s="8" t="n"/>
      <c r="F34" s="4" t="n"/>
      <c r="G34" s="8" t="n"/>
      <c r="H34" s="8" t="n"/>
      <c r="J34" s="9" t="inlineStr">
        <is>
          <t>EA140</t>
        </is>
      </c>
      <c r="K34" s="9" t="inlineStr">
        <is>
          <t>生石川橋</t>
        </is>
      </c>
      <c r="L34" s="1" t="inlineStr">
        <is>
          <t>生石川橋ＰＣ上部工事(日本ピーエス)</t>
        </is>
      </c>
    </row>
    <row r="35">
      <c r="D35" s="80" t="n"/>
      <c r="E35" s="8" t="n"/>
      <c r="F35" s="4" t="n"/>
      <c r="G35" s="8" t="n"/>
      <c r="H35" s="8" t="n"/>
      <c r="J35" s="9" t="inlineStr">
        <is>
          <t>EA141</t>
        </is>
      </c>
      <c r="K35" s="9" t="inlineStr">
        <is>
          <t>和歌山橋本</t>
        </is>
      </c>
      <c r="L35" s="1" t="inlineStr">
        <is>
          <t>和歌山県橋本市 補強土壁経過観測（ジオシステム）</t>
        </is>
      </c>
    </row>
    <row r="36">
      <c r="D36" s="80" t="n"/>
      <c r="E36" s="8" t="n"/>
      <c r="F36" s="4" t="n"/>
      <c r="G36" s="8" t="n"/>
      <c r="H36" s="8" t="n"/>
      <c r="J36" s="9" t="inlineStr">
        <is>
          <t>EA142</t>
        </is>
      </c>
      <c r="K36" s="9" t="inlineStr">
        <is>
          <t>南丹給食</t>
        </is>
      </c>
      <c r="L36" s="1" t="inlineStr">
        <is>
          <t>南丹市立学校給食共同調理場新築工事</t>
        </is>
      </c>
    </row>
    <row r="37">
      <c r="D37" s="80" t="n"/>
      <c r="E37" s="8" t="n"/>
      <c r="F37" s="4" t="n"/>
      <c r="G37" s="8" t="n"/>
      <c r="H37" s="8" t="n"/>
      <c r="J37" s="9" t="inlineStr">
        <is>
          <t>EA143</t>
        </is>
      </c>
      <c r="K37" s="9" t="inlineStr">
        <is>
          <t>蛙ヶ谷標柱</t>
        </is>
      </c>
      <c r="L37" s="1" t="inlineStr">
        <is>
          <t>蛙ヶ谷標柱境界杭計測業務（昭和建設）</t>
        </is>
      </c>
    </row>
    <row r="38">
      <c r="D38" s="4" t="n"/>
      <c r="E38" s="4" t="n"/>
      <c r="F38" s="4" t="n"/>
      <c r="G38" s="8" t="n"/>
      <c r="H38" s="8" t="n"/>
      <c r="J38" s="9" t="inlineStr">
        <is>
          <t>EA146</t>
        </is>
      </c>
      <c r="K38" s="9" t="inlineStr">
        <is>
          <t>熊本災害</t>
        </is>
      </c>
      <c r="L38" s="1" t="inlineStr">
        <is>
          <t>熊本県災害調査</t>
        </is>
      </c>
    </row>
    <row r="39">
      <c r="D39" s="4" t="n"/>
      <c r="E39" s="4" t="n"/>
      <c r="F39" s="4" t="n"/>
      <c r="G39" s="8" t="n"/>
      <c r="H39" s="8" t="n"/>
      <c r="J39" s="9" t="inlineStr">
        <is>
          <t>EA147</t>
        </is>
      </c>
      <c r="K39" s="9" t="inlineStr">
        <is>
          <t>新大阪ブリック</t>
        </is>
      </c>
      <c r="L39" s="1" t="inlineStr">
        <is>
          <t>新大阪ブリックビルひび割れ・変状調査(クモノスコーポレーション)</t>
        </is>
      </c>
    </row>
    <row r="40">
      <c r="D40" s="4" t="n"/>
      <c r="E40" s="4" t="n"/>
      <c r="F40" s="4" t="n"/>
      <c r="G40" s="8" t="n"/>
      <c r="H40" s="8" t="n"/>
      <c r="J40" s="9" t="inlineStr">
        <is>
          <t>EA148</t>
        </is>
      </c>
      <c r="K40" s="9" t="inlineStr">
        <is>
          <t>日吉発電所</t>
        </is>
      </c>
      <c r="L40" s="1" t="inlineStr">
        <is>
          <t>日吉太陽光発電所_図面作成（ダイエネ）</t>
        </is>
      </c>
    </row>
    <row r="41">
      <c r="D41" s="4" t="n"/>
      <c r="E41" s="4" t="n"/>
      <c r="F41" s="4" t="n"/>
      <c r="G41" s="8" t="n"/>
      <c r="H41" s="8" t="n"/>
      <c r="J41" s="9" t="inlineStr">
        <is>
          <t>EA149</t>
        </is>
      </c>
      <c r="K41" s="56" t="inlineStr">
        <is>
          <t>呑龍ポンプ場</t>
        </is>
      </c>
      <c r="L41" s="1" t="inlineStr">
        <is>
          <t>呑龍ポンプ場場内整備その2</t>
        </is>
      </c>
    </row>
    <row r="42">
      <c r="D42" s="4" t="n"/>
      <c r="E42" s="4" t="n"/>
      <c r="F42" s="4" t="n"/>
      <c r="G42" s="8" t="n"/>
      <c r="H42" s="8" t="n"/>
      <c r="J42" s="9" t="inlineStr">
        <is>
          <t>EA150</t>
        </is>
      </c>
      <c r="K42" s="9" t="inlineStr">
        <is>
          <t>松葉高架橋</t>
        </is>
      </c>
      <c r="L42" s="1" t="inlineStr">
        <is>
          <t>松葉高架橋他２０橋耐震補強工事（五洋・南海辰村ＪＶ）</t>
        </is>
      </c>
    </row>
    <row r="43">
      <c r="D43" s="4" t="n"/>
      <c r="E43" s="4" t="n"/>
      <c r="F43" s="4" t="n"/>
      <c r="G43" s="8" t="n"/>
      <c r="H43" s="8" t="n"/>
      <c r="J43" s="9" t="inlineStr">
        <is>
          <t>EA151</t>
        </is>
      </c>
      <c r="K43" s="9" t="inlineStr">
        <is>
          <t>由良川調査</t>
        </is>
      </c>
      <c r="L43" s="1" t="inlineStr">
        <is>
          <t>由良川維持管理効率化に伴うドローン計測業務（オリエンタルコンサルタンツ）</t>
        </is>
      </c>
    </row>
    <row r="44">
      <c r="D44" s="4" t="n"/>
      <c r="E44" s="4" t="n"/>
      <c r="F44" s="4" t="n"/>
      <c r="G44" s="8" t="n"/>
      <c r="H44" s="8" t="n"/>
      <c r="J44" s="9" t="inlineStr">
        <is>
          <t>EA152</t>
        </is>
      </c>
      <c r="K44" s="9" t="inlineStr">
        <is>
          <t>北区栄町</t>
        </is>
      </c>
      <c r="L44" s="1" t="inlineStr">
        <is>
          <t>北区栄町石神井川流域貯留管工事（錢高組）</t>
        </is>
      </c>
    </row>
    <row r="45">
      <c r="D45" s="4" t="n"/>
      <c r="E45" s="4" t="n"/>
      <c r="F45" s="4" t="n"/>
      <c r="G45" s="8" t="n"/>
      <c r="H45" s="8" t="n"/>
      <c r="J45" s="9" t="inlineStr">
        <is>
          <t>EA153</t>
        </is>
      </c>
      <c r="K45" s="9" t="inlineStr">
        <is>
          <t>八木嶋造成</t>
        </is>
      </c>
      <c r="L45" s="1" t="inlineStr">
        <is>
          <t>八木嶋(自社)造成工事（第一土木）</t>
        </is>
      </c>
    </row>
    <row r="46">
      <c r="D46" s="4" t="n"/>
      <c r="E46" s="4" t="n"/>
      <c r="F46" s="4" t="n"/>
      <c r="G46" s="8" t="n"/>
      <c r="H46" s="8" t="n"/>
      <c r="J46" s="9" t="inlineStr">
        <is>
          <t>EA155</t>
        </is>
      </c>
      <c r="K46" s="9" t="inlineStr">
        <is>
          <t>京橋駅地下</t>
        </is>
      </c>
      <c r="L46" s="1" t="inlineStr">
        <is>
          <t>京橋駅周辺地下化工事（錢高組）</t>
        </is>
      </c>
    </row>
    <row r="47">
      <c r="D47" s="4" t="n"/>
      <c r="E47" s="4" t="n"/>
      <c r="F47" s="4" t="n"/>
      <c r="G47" s="8" t="n"/>
      <c r="H47" s="8" t="n"/>
      <c r="J47" s="9" t="inlineStr">
        <is>
          <t>EA156</t>
        </is>
      </c>
      <c r="K47" s="9" t="inlineStr">
        <is>
          <t>R7寺田拡幅</t>
        </is>
      </c>
      <c r="L47" s="1" t="inlineStr">
        <is>
          <t>R7寺田拡幅交差点他整備工事(近畿地方整備局 京都国道事務所)</t>
        </is>
      </c>
    </row>
    <row r="48">
      <c r="D48" s="4" t="n"/>
      <c r="E48" s="4" t="n"/>
      <c r="F48" s="4" t="n"/>
      <c r="G48" s="8" t="n"/>
      <c r="H48" s="8" t="n"/>
      <c r="J48" s="9" t="inlineStr">
        <is>
          <t>EA157</t>
        </is>
      </c>
      <c r="K48" s="9" t="inlineStr">
        <is>
          <t>蛙ヶ谷基準点</t>
        </is>
      </c>
      <c r="L48" s="1" t="inlineStr">
        <is>
          <t>蛙ヶ谷川事業間連携砂防等（砂防・補正）工事_基準点測量(一建設)</t>
        </is>
      </c>
    </row>
    <row r="49">
      <c r="D49" s="4" t="n"/>
      <c r="E49" s="4" t="n"/>
      <c r="F49" s="4" t="n"/>
      <c r="G49" s="8" t="n"/>
      <c r="H49" s="8" t="n"/>
      <c r="J49" s="9" t="inlineStr">
        <is>
          <t>EA158</t>
        </is>
      </c>
      <c r="K49" s="9" t="inlineStr">
        <is>
          <t>大熊町橋梁点検</t>
        </is>
      </c>
      <c r="L49" s="1" t="inlineStr">
        <is>
          <t>大熊町橋梁点検プロポーザル（日本ピーエス）</t>
        </is>
      </c>
    </row>
    <row r="50">
      <c r="D50" s="4" t="n"/>
      <c r="E50" s="4" t="n"/>
      <c r="F50" s="4" t="n"/>
      <c r="G50" s="8" t="n"/>
      <c r="H50" s="8" t="n"/>
      <c r="J50" s="9" t="inlineStr">
        <is>
          <t>RD5</t>
        </is>
      </c>
      <c r="K50" s="9" t="inlineStr">
        <is>
          <t>ANA05</t>
        </is>
      </c>
      <c r="L50" s="1" t="inlineStr">
        <is>
          <t>IMUドローン(SARUTAHIKO)開発～Analyzer05～</t>
        </is>
      </c>
    </row>
    <row r="51">
      <c r="D51" s="4" t="n"/>
      <c r="E51" s="4" t="n"/>
      <c r="F51" s="4" t="n"/>
      <c r="G51" s="8" t="n"/>
      <c r="H51" s="8" t="n"/>
      <c r="J51" s="9" t="inlineStr">
        <is>
          <t>RD11</t>
        </is>
      </c>
      <c r="K51" s="9" t="inlineStr">
        <is>
          <t>NIRO</t>
        </is>
      </c>
      <c r="L51" s="1" t="inlineStr">
        <is>
          <t>ドローン利活用プラットフォーム（NIRO）</t>
        </is>
      </c>
    </row>
    <row r="52">
      <c r="D52" s="4" t="n"/>
      <c r="E52" s="4" t="n"/>
      <c r="F52" s="4" t="n"/>
      <c r="G52" s="8" t="n"/>
      <c r="H52" s="8" t="n"/>
      <c r="J52" s="9" t="inlineStr">
        <is>
          <t>RD13</t>
        </is>
      </c>
      <c r="K52" s="9" t="inlineStr">
        <is>
          <t>補助金</t>
        </is>
      </c>
      <c r="L52" s="1" t="inlineStr">
        <is>
          <t>シェアビジョン（補助金）</t>
        </is>
      </c>
    </row>
    <row r="53">
      <c r="D53" s="4" t="n"/>
      <c r="E53" s="4" t="n"/>
      <c r="F53" s="4" t="n"/>
      <c r="G53" s="8" t="n"/>
      <c r="H53" s="8" t="n"/>
      <c r="J53" s="9" t="inlineStr">
        <is>
          <t>RD21</t>
        </is>
      </c>
      <c r="K53" s="9" t="inlineStr">
        <is>
          <t>技術顕彰</t>
        </is>
      </c>
      <c r="L53" s="1" t="inlineStr">
        <is>
          <t>R7京都府中小企業技術顕彰</t>
        </is>
      </c>
    </row>
    <row r="54">
      <c r="D54" s="4" t="n"/>
      <c r="E54" s="4" t="n"/>
      <c r="F54" s="4" t="n"/>
      <c r="G54" s="8" t="n"/>
      <c r="H54" s="8" t="n"/>
      <c r="J54" s="9" t="inlineStr">
        <is>
          <t>RD24</t>
        </is>
      </c>
      <c r="K54" s="9" t="inlineStr">
        <is>
          <t>日野川</t>
        </is>
      </c>
      <c r="L54" s="1" t="inlineStr">
        <is>
          <t>日野川橋梁実証実験</t>
        </is>
      </c>
    </row>
    <row r="55">
      <c r="D55" s="4" t="n"/>
      <c r="E55" s="4" t="n"/>
      <c r="F55" s="4" t="n"/>
      <c r="G55" s="8" t="n"/>
      <c r="H55" s="8" t="n"/>
      <c r="J55" s="9" t="inlineStr">
        <is>
          <t>RD25</t>
        </is>
      </c>
      <c r="K55" s="9" t="inlineStr">
        <is>
          <t>旭川大橋</t>
        </is>
      </c>
      <c r="L55" s="1" t="inlineStr">
        <is>
          <t>旭川大橋実証実験</t>
        </is>
      </c>
    </row>
    <row r="56">
      <c r="D56" s="4" t="n"/>
      <c r="E56" s="4" t="n"/>
      <c r="F56" s="4" t="n"/>
      <c r="G56" s="8" t="n"/>
      <c r="H56" s="8" t="n"/>
      <c r="J56" s="9" t="inlineStr">
        <is>
          <t>RD28</t>
        </is>
      </c>
      <c r="K56" s="9" t="inlineStr">
        <is>
          <t>小型ドローン</t>
        </is>
      </c>
      <c r="L56" s="1" t="inlineStr">
        <is>
          <t>ドローン小型化プロジェクト</t>
        </is>
      </c>
    </row>
    <row r="57">
      <c r="D57" s="4" t="n"/>
      <c r="E57" s="4" t="n"/>
      <c r="F57" s="4" t="n"/>
      <c r="G57" s="8" t="n"/>
      <c r="H57" s="8" t="n"/>
      <c r="J57" s="9" t="inlineStr">
        <is>
          <t>RD29</t>
        </is>
      </c>
      <c r="K57" s="9" t="inlineStr">
        <is>
          <t>3DCAD飛行経路作成</t>
        </is>
      </c>
      <c r="L57" s="1" t="inlineStr">
        <is>
          <t>3DCAD飛行経路作成</t>
        </is>
      </c>
    </row>
    <row r="58">
      <c r="D58" s="4" t="n"/>
      <c r="E58" s="4" t="n"/>
      <c r="F58" s="4" t="n"/>
      <c r="G58" s="8" t="n"/>
      <c r="H58" s="8" t="n"/>
      <c r="J58" s="9" t="inlineStr">
        <is>
          <t>SM21</t>
        </is>
      </c>
      <c r="K58" s="9" t="inlineStr">
        <is>
          <t>土木学会</t>
        </is>
      </c>
      <c r="L58" s="1" t="inlineStr">
        <is>
          <t>土木学会中国支部研究発表会</t>
        </is>
      </c>
    </row>
    <row r="59">
      <c r="D59" s="4" t="n"/>
      <c r="E59" s="4" t="n"/>
      <c r="F59" s="4" t="n"/>
      <c r="G59" s="8" t="n"/>
      <c r="H59" s="8" t="n"/>
      <c r="J59" s="9" t="inlineStr">
        <is>
          <t>SM022</t>
        </is>
      </c>
      <c r="K59" s="9" t="inlineStr">
        <is>
          <t>施工研修</t>
        </is>
      </c>
      <c r="L59" s="1" t="inlineStr">
        <is>
          <t>BIMCIM施工研修2025（近畿地整－近畿建設協会）</t>
        </is>
      </c>
    </row>
    <row r="60">
      <c r="D60" s="4" t="n"/>
      <c r="E60" s="4" t="n"/>
      <c r="F60" s="4" t="n"/>
      <c r="G60" s="8" t="n"/>
      <c r="H60" s="8" t="n"/>
      <c r="J60" s="9" t="inlineStr">
        <is>
          <t>SM024</t>
        </is>
      </c>
      <c r="K60" s="9" t="inlineStr">
        <is>
          <t>四国研修</t>
        </is>
      </c>
      <c r="L60" s="1" t="inlineStr">
        <is>
          <t>四国ＢIMCIM研修2025</t>
        </is>
      </c>
    </row>
    <row r="61">
      <c r="D61" s="4" t="n"/>
      <c r="E61" s="4" t="n"/>
      <c r="F61" s="4" t="n"/>
      <c r="G61" s="8" t="n"/>
      <c r="H61" s="8" t="n"/>
      <c r="J61" s="9" t="inlineStr">
        <is>
          <t>SM027</t>
        </is>
      </c>
      <c r="K61" s="9" t="inlineStr">
        <is>
          <t>Revitマニュアル</t>
        </is>
      </c>
      <c r="L61" s="1" t="inlineStr">
        <is>
          <t>Revitマニュアル</t>
        </is>
      </c>
    </row>
    <row r="62">
      <c r="D62" s="4" t="n"/>
      <c r="E62" s="4" t="n"/>
      <c r="F62" s="4" t="n"/>
      <c r="G62" s="8" t="n"/>
      <c r="H62" s="8" t="n"/>
      <c r="J62" s="9" t="inlineStr">
        <is>
          <t>PR04</t>
        </is>
      </c>
      <c r="K62" s="9" t="inlineStr">
        <is>
          <t>展示会</t>
        </is>
      </c>
      <c r="L62" s="1" t="inlineStr">
        <is>
          <t>展示会関係</t>
        </is>
      </c>
    </row>
    <row r="63">
      <c r="D63" s="4" t="n"/>
      <c r="E63" s="4" t="n"/>
      <c r="F63" s="4" t="n"/>
      <c r="G63" s="8" t="n"/>
      <c r="H63" s="8" t="n"/>
      <c r="J63" s="9" t="inlineStr">
        <is>
          <t>PR05</t>
        </is>
      </c>
      <c r="K63" s="9" t="inlineStr">
        <is>
          <t>タイムズ</t>
        </is>
      </c>
      <c r="L63" s="1" t="inlineStr">
        <is>
          <t>建設タイムズ広告関係</t>
        </is>
      </c>
    </row>
    <row r="64">
      <c r="D64" s="4" t="n"/>
      <c r="E64" s="4" t="n"/>
      <c r="F64" s="4" t="n"/>
      <c r="G64" s="8" t="n"/>
      <c r="H64" s="8" t="n"/>
    </row>
    <row r="65">
      <c r="D65" s="4" t="n"/>
      <c r="E65" s="4" t="n"/>
      <c r="F65" s="4" t="n"/>
      <c r="G65" s="8" t="n"/>
      <c r="H65" s="8" t="n"/>
    </row>
    <row r="66">
      <c r="D66" s="4" t="n"/>
      <c r="E66" s="4" t="n"/>
      <c r="F66" s="4" t="n"/>
      <c r="G66" s="8" t="n"/>
      <c r="H66" s="8" t="n"/>
    </row>
    <row r="67">
      <c r="D67" s="4" t="n"/>
      <c r="E67" s="4" t="n"/>
      <c r="F67" s="4" t="n"/>
      <c r="G67" s="8" t="n"/>
      <c r="H67" s="8" t="n"/>
    </row>
    <row r="68">
      <c r="D68" s="4" t="n"/>
      <c r="E68" s="4" t="n"/>
      <c r="F68" s="4" t="n"/>
      <c r="G68" s="8" t="n"/>
      <c r="H68" s="8" t="n"/>
    </row>
    <row r="69">
      <c r="D69" s="4" t="n"/>
      <c r="E69" s="4" t="n"/>
      <c r="F69" s="4" t="n"/>
      <c r="G69" s="8" t="n"/>
      <c r="H69" s="8" t="n"/>
    </row>
    <row r="70">
      <c r="D70" s="4" t="n"/>
      <c r="E70" s="4" t="n"/>
      <c r="F70" s="4" t="n"/>
      <c r="G70" s="8" t="n"/>
      <c r="H70" s="8" t="n"/>
    </row>
    <row r="71">
      <c r="D71" s="4" t="n"/>
      <c r="E71" s="4" t="n"/>
      <c r="F71" s="4" t="n"/>
      <c r="G71" s="8" t="n"/>
      <c r="H71" s="8" t="n"/>
    </row>
    <row r="72">
      <c r="D72" s="4" t="n"/>
      <c r="E72" s="4" t="n"/>
      <c r="F72" s="4" t="n"/>
      <c r="G72" s="8" t="n"/>
      <c r="H72" s="8" t="n"/>
    </row>
    <row r="73">
      <c r="D73" s="4" t="n"/>
      <c r="E73" s="4" t="n"/>
      <c r="F73" s="4" t="n"/>
      <c r="G73" s="8" t="n"/>
      <c r="H73" s="8" t="n"/>
    </row>
    <row r="74">
      <c r="D74" s="4" t="n"/>
      <c r="E74" s="4" t="n"/>
      <c r="F74" s="4" t="n"/>
      <c r="G74" s="8" t="n"/>
      <c r="H74" s="8" t="n"/>
    </row>
    <row r="75">
      <c r="D75" s="4" t="n"/>
      <c r="E75" s="4" t="n"/>
      <c r="F75" s="4" t="n"/>
      <c r="G75" s="8" t="n"/>
      <c r="H75" s="8" t="n"/>
    </row>
    <row r="76">
      <c r="D76" s="4" t="n"/>
      <c r="E76" s="4" t="n"/>
      <c r="F76" s="4" t="n"/>
      <c r="G76" s="8" t="n"/>
      <c r="H76" s="8" t="n"/>
    </row>
    <row r="77">
      <c r="D77" s="4" t="n"/>
      <c r="E77" s="4" t="n"/>
      <c r="F77" s="4" t="n"/>
      <c r="G77" s="8" t="n"/>
      <c r="H77" s="8" t="n"/>
    </row>
    <row r="78">
      <c r="D78" s="4" t="n"/>
      <c r="E78" s="4" t="n"/>
      <c r="F78" s="4" t="n"/>
      <c r="G78" s="8" t="n"/>
      <c r="H78" s="8" t="n"/>
    </row>
    <row r="79">
      <c r="D79" s="4" t="n"/>
      <c r="E79" s="4" t="n"/>
      <c r="F79" s="4" t="n"/>
      <c r="G79" s="8" t="n"/>
      <c r="H79" s="8" t="n"/>
    </row>
    <row r="80">
      <c r="D80" s="4" t="n"/>
      <c r="E80" s="4" t="n"/>
      <c r="F80" s="4" t="n"/>
      <c r="G80" s="8" t="n"/>
      <c r="H80" s="8" t="n"/>
    </row>
    <row r="81">
      <c r="D81" s="4" t="n"/>
      <c r="E81" s="4" t="n"/>
      <c r="F81" s="4" t="n"/>
      <c r="G81" s="8" t="n"/>
      <c r="H81" s="8" t="n"/>
    </row>
    <row r="82">
      <c r="D82" s="4" t="n"/>
      <c r="E82" s="4" t="n"/>
      <c r="F82" s="4" t="n"/>
      <c r="G82" s="8" t="n"/>
      <c r="H82" s="8" t="n"/>
    </row>
    <row r="83">
      <c r="D83" s="4" t="n"/>
      <c r="E83" s="4" t="n"/>
      <c r="F83" s="4" t="n"/>
      <c r="G83" s="8" t="n"/>
      <c r="H83" s="8" t="n"/>
    </row>
    <row r="84">
      <c r="D84" s="4" t="n"/>
      <c r="E84" s="4" t="n"/>
      <c r="F84" s="4" t="n"/>
      <c r="G84" s="8" t="n"/>
      <c r="H84" s="8" t="n"/>
    </row>
    <row r="85">
      <c r="D85" s="4" t="n"/>
      <c r="E85" s="4" t="n"/>
      <c r="F85" s="4" t="n"/>
      <c r="G85" s="8" t="n"/>
      <c r="H85" s="8" t="n"/>
    </row>
    <row r="86">
      <c r="D86" s="4" t="n"/>
      <c r="E86" s="4" t="n"/>
      <c r="F86" s="4" t="n"/>
      <c r="G86" s="8" t="n"/>
      <c r="H86" s="8" t="n"/>
    </row>
    <row r="87">
      <c r="D87" s="4" t="n"/>
      <c r="E87" s="4" t="n"/>
      <c r="F87" s="4" t="n"/>
      <c r="G87" s="8" t="n"/>
      <c r="H87" s="8" t="n"/>
    </row>
    <row r="88">
      <c r="D88" s="4" t="n"/>
      <c r="E88" s="4" t="n"/>
      <c r="F88" s="4" t="n"/>
      <c r="G88" s="8" t="n"/>
      <c r="H88" s="8" t="n"/>
    </row>
    <row r="89">
      <c r="D89" s="4" t="n"/>
      <c r="E89" s="4" t="n"/>
      <c r="F89" s="4" t="n"/>
      <c r="G89" s="8" t="n"/>
      <c r="H89" s="8" t="n"/>
    </row>
    <row r="90">
      <c r="D90" s="4" t="n"/>
      <c r="E90" s="4" t="n"/>
      <c r="F90" s="4" t="n"/>
      <c r="G90" s="8" t="n"/>
      <c r="H90" s="8" t="n"/>
    </row>
    <row r="91">
      <c r="D91" s="4" t="n"/>
      <c r="E91" s="4" t="n"/>
      <c r="F91" s="4" t="n"/>
      <c r="G91" s="8" t="n"/>
      <c r="H91" s="8" t="n"/>
    </row>
    <row r="92">
      <c r="D92" s="4" t="n"/>
      <c r="E92" s="4" t="n"/>
      <c r="F92" s="4" t="n"/>
      <c r="G92" s="8" t="n"/>
      <c r="H92" s="8" t="n"/>
    </row>
    <row r="93">
      <c r="D93" s="4" t="n"/>
      <c r="E93" s="4" t="n"/>
      <c r="F93" s="4" t="n"/>
      <c r="G93" s="8" t="n"/>
      <c r="H93" s="8" t="n"/>
    </row>
    <row r="94">
      <c r="D94" s="4" t="n"/>
      <c r="E94" s="4" t="n"/>
      <c r="F94" s="4" t="n"/>
      <c r="G94" s="8" t="n"/>
      <c r="H94" s="8" t="n"/>
    </row>
    <row r="95">
      <c r="D95" s="4" t="n"/>
      <c r="E95" s="4" t="n"/>
      <c r="F95" s="4" t="n"/>
      <c r="G95" s="8" t="n"/>
      <c r="H95" s="8" t="n"/>
    </row>
    <row r="96">
      <c r="D96" s="4" t="n"/>
      <c r="E96" s="4" t="n"/>
      <c r="F96" s="4" t="n"/>
      <c r="G96" s="8" t="n"/>
      <c r="H96" s="8" t="n"/>
    </row>
    <row r="97">
      <c r="D97" s="4" t="n"/>
      <c r="E97" s="4" t="n"/>
      <c r="F97" s="4" t="n"/>
      <c r="G97" s="8" t="n"/>
      <c r="H97" s="8" t="n"/>
    </row>
    <row r="98">
      <c r="D98" s="4" t="n"/>
      <c r="E98" s="4" t="n"/>
      <c r="F98" s="4" t="n"/>
      <c r="G98" s="8" t="n"/>
      <c r="H98" s="8" t="n"/>
    </row>
    <row r="99">
      <c r="D99" s="4" t="n"/>
      <c r="E99" s="4" t="n"/>
      <c r="F99" s="4" t="n"/>
      <c r="G99" s="8" t="n"/>
      <c r="H99" s="8" t="n"/>
    </row>
    <row r="100">
      <c r="D100" s="4" t="n"/>
      <c r="E100" s="4" t="n"/>
      <c r="F100" s="4" t="n"/>
      <c r="G100" s="8" t="n"/>
      <c r="H100" s="8" t="n"/>
    </row>
    <row r="101">
      <c r="D101" s="4" t="n"/>
      <c r="E101" s="4" t="n"/>
      <c r="F101" s="4" t="n"/>
      <c r="G101" s="8" t="n"/>
      <c r="H101" s="8" t="n"/>
    </row>
    <row r="102">
      <c r="D102" s="4" t="n"/>
      <c r="E102" s="4" t="n"/>
      <c r="F102" s="4" t="n"/>
      <c r="G102" s="8" t="n"/>
      <c r="H102" s="8" t="n"/>
    </row>
    <row r="103">
      <c r="D103" s="4" t="n"/>
      <c r="E103" s="4" t="n"/>
      <c r="F103" s="4" t="n"/>
      <c r="G103" s="8" t="n"/>
      <c r="H103" s="8" t="n"/>
    </row>
    <row r="104">
      <c r="D104" s="4" t="n"/>
      <c r="E104" s="4" t="n"/>
      <c r="F104" s="4" t="n"/>
      <c r="G104" s="8" t="n"/>
      <c r="H104" s="8" t="n"/>
    </row>
    <row r="105">
      <c r="D105" s="4" t="n"/>
      <c r="E105" s="4" t="n"/>
      <c r="F105" s="4" t="n"/>
      <c r="G105" s="8" t="n"/>
      <c r="H105" s="8" t="n"/>
    </row>
    <row r="106">
      <c r="D106" s="4" t="n"/>
      <c r="E106" s="4" t="n"/>
      <c r="F106" s="4" t="n"/>
      <c r="G106" s="8" t="n"/>
      <c r="H106" s="8" t="n"/>
    </row>
    <row r="107">
      <c r="D107" s="4" t="n"/>
      <c r="E107" s="4" t="n"/>
      <c r="F107" s="4" t="n"/>
      <c r="G107" s="8" t="n"/>
      <c r="H107" s="8" t="n"/>
    </row>
    <row r="108">
      <c r="D108" s="4" t="n"/>
      <c r="E108" s="4" t="n"/>
      <c r="F108" s="4" t="n"/>
      <c r="G108" s="8" t="n"/>
      <c r="H108" s="8" t="n"/>
    </row>
    <row r="109">
      <c r="D109" s="4" t="n"/>
      <c r="E109" s="4" t="n"/>
      <c r="F109" s="4" t="n"/>
      <c r="G109" s="8" t="n"/>
      <c r="H109" s="8" t="n"/>
    </row>
    <row r="110">
      <c r="D110" s="4" t="n"/>
      <c r="E110" s="4" t="n"/>
      <c r="F110" s="4" t="n"/>
      <c r="G110" s="8" t="n"/>
      <c r="H110" s="8" t="n"/>
    </row>
    <row r="111">
      <c r="D111" s="4" t="n"/>
      <c r="E111" s="4" t="n"/>
      <c r="F111" s="4" t="n"/>
      <c r="G111" s="8" t="n"/>
      <c r="H111" s="8" t="n"/>
    </row>
    <row r="112">
      <c r="D112" s="4" t="n"/>
      <c r="E112" s="4" t="n"/>
      <c r="F112" s="4" t="n"/>
      <c r="G112" s="8" t="n"/>
      <c r="H112" s="8" t="n"/>
    </row>
    <row r="113">
      <c r="D113" s="4" t="n"/>
      <c r="E113" s="4" t="n"/>
      <c r="F113" s="4" t="n"/>
      <c r="G113" s="8" t="n"/>
      <c r="H113" s="8" t="n"/>
    </row>
    <row r="114">
      <c r="D114" s="4" t="n"/>
      <c r="E114" s="4" t="n"/>
      <c r="F114" s="4" t="n"/>
      <c r="G114" s="8" t="n"/>
      <c r="H114" s="8" t="n"/>
    </row>
    <row r="115">
      <c r="D115" s="4" t="n"/>
      <c r="E115" s="4" t="n"/>
      <c r="F115" s="4" t="n"/>
      <c r="G115" s="8" t="n"/>
      <c r="H115" s="8" t="n"/>
    </row>
    <row r="116">
      <c r="D116" s="4" t="n"/>
      <c r="E116" s="4" t="n"/>
      <c r="F116" s="4" t="n"/>
      <c r="G116" s="8" t="n"/>
      <c r="H116" s="8" t="n"/>
    </row>
    <row r="117">
      <c r="D117" s="4" t="n"/>
      <c r="E117" s="4" t="n"/>
      <c r="F117" s="4" t="n"/>
      <c r="G117" s="8" t="n"/>
      <c r="H117" s="8" t="n"/>
    </row>
    <row r="118">
      <c r="D118" s="4" t="n"/>
      <c r="E118" s="4" t="n"/>
      <c r="F118" s="4" t="n"/>
      <c r="G118" s="8" t="n"/>
      <c r="H118" s="8" t="n"/>
    </row>
    <row r="119">
      <c r="D119" s="4" t="n"/>
      <c r="E119" s="4" t="n"/>
      <c r="F119" s="4" t="n"/>
      <c r="G119" s="8" t="n"/>
      <c r="H119" s="8" t="n"/>
    </row>
    <row r="120">
      <c r="D120" s="4" t="n"/>
      <c r="E120" s="4" t="n"/>
      <c r="F120" s="4" t="n"/>
      <c r="G120" s="8" t="n"/>
      <c r="H120" s="8" t="n"/>
    </row>
    <row r="121">
      <c r="D121" s="4" t="n"/>
      <c r="E121" s="4" t="n"/>
      <c r="F121" s="4" t="n"/>
      <c r="G121" s="8" t="n"/>
      <c r="H121" s="8" t="n"/>
    </row>
    <row r="122">
      <c r="D122" s="4" t="n"/>
      <c r="E122" s="4" t="n"/>
      <c r="F122" s="4" t="n"/>
      <c r="G122" s="8" t="n"/>
      <c r="H122" s="8" t="n"/>
    </row>
    <row r="123">
      <c r="D123" s="4" t="n"/>
      <c r="E123" s="4" t="n"/>
      <c r="F123" s="4" t="n"/>
      <c r="G123" s="8" t="n"/>
      <c r="H123" s="8" t="n"/>
    </row>
    <row r="124">
      <c r="D124" s="4" t="n"/>
      <c r="E124" s="4" t="n"/>
      <c r="F124" s="4" t="n"/>
      <c r="G124" s="8" t="n"/>
      <c r="H124" s="8" t="n"/>
    </row>
    <row r="125">
      <c r="G125" s="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5">
    <outlinePr summaryBelow="1" summaryRight="1"/>
    <pageSetUpPr/>
  </sheetPr>
  <dimension ref="A1:AL31"/>
  <sheetViews>
    <sheetView zoomScaleNormal="100" workbookViewId="0">
      <selection activeCell="AI14" sqref="AI14"/>
    </sheetView>
  </sheetViews>
  <sheetFormatPr baseColWidth="8" defaultRowHeight="18.75"/>
  <cols>
    <col width="10.5" customWidth="1" style="79" min="1" max="1"/>
    <col width="3.875" customWidth="1" style="79" min="2" max="33"/>
  </cols>
  <sheetData>
    <row r="1">
      <c r="A1" s="3" t="n">
        <v>2026</v>
      </c>
      <c r="B1" s="3" t="inlineStr">
        <is>
          <t>年</t>
        </is>
      </c>
      <c r="D1" s="3" t="n"/>
      <c r="E1" s="3" t="n"/>
      <c r="F1" s="3" t="n"/>
      <c r="G1" s="3" t="n"/>
    </row>
    <row r="2">
      <c r="A2" s="3" t="n">
        <v>4</v>
      </c>
      <c r="B2" s="3" t="inlineStr">
        <is>
          <t xml:space="preserve">月 </t>
        </is>
      </c>
      <c r="C2" s="3" t="n">
        <v>21</v>
      </c>
      <c r="D2" s="19" t="inlineStr">
        <is>
          <t>日</t>
        </is>
      </c>
      <c r="E2" s="3" t="n"/>
      <c r="F2" s="3" t="n">
        <v>5</v>
      </c>
      <c r="G2" s="3" t="inlineStr">
        <is>
          <t>月</t>
        </is>
      </c>
      <c r="H2" s="3" t="n">
        <v>20</v>
      </c>
      <c r="I2" s="3" t="inlineStr">
        <is>
          <t>日</t>
        </is>
      </c>
      <c r="J2" s="3" t="n"/>
      <c r="M2" s="0">
        <f>(A2&amp;"月"&amp;"~"&amp;F2&amp;"月")</f>
        <v/>
      </c>
    </row>
    <row r="3">
      <c r="A3" s="3" t="n"/>
      <c r="B3" s="3" t="n"/>
      <c r="C3" s="81" t="n"/>
      <c r="D3" s="82" t="n"/>
      <c r="E3" s="82" t="n"/>
      <c r="F3" s="82" t="n"/>
      <c r="G3" s="82" t="n"/>
      <c r="H3" s="82" t="n"/>
      <c r="I3" s="82" t="n"/>
      <c r="J3" s="82" t="n"/>
      <c r="K3" s="82" t="n"/>
      <c r="L3" s="82" t="n"/>
      <c r="M3" s="82" t="n"/>
      <c r="N3" s="83" t="n"/>
      <c r="O3" s="84" t="n"/>
      <c r="P3" s="85" t="n"/>
      <c r="Q3" s="85" t="n"/>
      <c r="R3" s="85" t="n"/>
      <c r="S3" s="85" t="n"/>
      <c r="T3" s="85" t="n"/>
      <c r="U3" s="85" t="n"/>
      <c r="V3" s="85" t="n"/>
      <c r="W3" s="85" t="n"/>
      <c r="X3" s="85" t="n"/>
      <c r="Y3" s="85" t="n"/>
      <c r="Z3" s="85" t="n"/>
      <c r="AA3" s="85" t="n"/>
      <c r="AB3" s="85" t="n"/>
      <c r="AC3" s="85" t="n"/>
      <c r="AD3" s="85" t="n"/>
      <c r="AE3" s="85" t="n"/>
      <c r="AF3" s="85" t="n"/>
      <c r="AG3" s="85" t="n"/>
    </row>
    <row r="4" ht="18" customHeight="1" s="79">
      <c r="A4" s="23">
        <f>TEXT(DATE(2025, A2, 1), "m月") &amp; "～" &amp; TEXT(DATE(2025, F2, 1), "m月")</f>
        <v/>
      </c>
      <c r="B4" s="23" t="inlineStr">
        <is>
          <t>日</t>
        </is>
      </c>
      <c r="C4" s="86">
        <f>DATE(A1,$A$2,21+COLUMN(A2)-1)</f>
        <v/>
      </c>
      <c r="D4" s="86">
        <f>C4+1</f>
        <v/>
      </c>
      <c r="E4" s="86">
        <f>D4+1</f>
        <v/>
      </c>
      <c r="F4" s="86">
        <f>E4+1</f>
        <v/>
      </c>
      <c r="G4" s="86">
        <f>F4+1</f>
        <v/>
      </c>
      <c r="H4" s="86">
        <f>G4+1</f>
        <v/>
      </c>
      <c r="I4" s="86">
        <f>H4+1</f>
        <v/>
      </c>
      <c r="J4" s="86">
        <f>I4+1</f>
        <v/>
      </c>
      <c r="K4" s="86">
        <f>J4+1</f>
        <v/>
      </c>
      <c r="L4" s="86">
        <f>K4+1</f>
        <v/>
      </c>
      <c r="M4" s="86" t="n"/>
      <c r="N4" s="87">
        <f>IF(F2=1,DATE(A1+1,$F$2,1),DATE(A1,$F$2,1))</f>
        <v/>
      </c>
      <c r="O4" s="88">
        <f>N4+1</f>
        <v/>
      </c>
      <c r="P4" s="87">
        <f>O4+1</f>
        <v/>
      </c>
      <c r="Q4" s="87">
        <f>P4+1</f>
        <v/>
      </c>
      <c r="R4" s="87">
        <f>Q4+1</f>
        <v/>
      </c>
      <c r="S4" s="87">
        <f>R4+1</f>
        <v/>
      </c>
      <c r="T4" s="87">
        <f>S4+1</f>
        <v/>
      </c>
      <c r="U4" s="87">
        <f>T4+1</f>
        <v/>
      </c>
      <c r="V4" s="87">
        <f>U4+1</f>
        <v/>
      </c>
      <c r="W4" s="87">
        <f>V4+1</f>
        <v/>
      </c>
      <c r="X4" s="87">
        <f>W4+1</f>
        <v/>
      </c>
      <c r="Y4" s="87">
        <f>X4+1</f>
        <v/>
      </c>
      <c r="Z4" s="87">
        <f>Y4+1</f>
        <v/>
      </c>
      <c r="AA4" s="87">
        <f>Z4+1</f>
        <v/>
      </c>
      <c r="AB4" s="87">
        <f>AA4+1</f>
        <v/>
      </c>
      <c r="AC4" s="87">
        <f>AB4+1</f>
        <v/>
      </c>
      <c r="AD4" s="87">
        <f>AC4+1</f>
        <v/>
      </c>
      <c r="AE4" s="87">
        <f>AD4+1</f>
        <v/>
      </c>
      <c r="AF4" s="87">
        <f>AE4+1</f>
        <v/>
      </c>
      <c r="AG4" s="87">
        <f>AF4+1</f>
        <v/>
      </c>
      <c r="AH4" s="24" t="inlineStr">
        <is>
          <t>日数</t>
        </is>
      </c>
      <c r="AI4" s="24" t="inlineStr">
        <is>
          <t>日数</t>
        </is>
      </c>
      <c r="AJ4" s="31" t="inlineStr">
        <is>
          <t>時間</t>
        </is>
      </c>
    </row>
    <row r="5" ht="18" customHeight="1" s="79">
      <c r="A5" s="25" t="inlineStr">
        <is>
          <t>氏名</t>
        </is>
      </c>
      <c r="B5" s="25" t="inlineStr">
        <is>
          <t>曜日</t>
        </is>
      </c>
      <c r="C5" s="49">
        <f>TEXT(C4,"aaa")</f>
        <v/>
      </c>
      <c r="D5" s="49">
        <f>TEXT(D4,"aaa")</f>
        <v/>
      </c>
      <c r="E5" s="49">
        <f>TEXT(E4,"aaa")</f>
        <v/>
      </c>
      <c r="F5" s="49">
        <f>TEXT(F4,"aaa")</f>
        <v/>
      </c>
      <c r="G5" s="49">
        <f>TEXT(G4,"aaa")</f>
        <v/>
      </c>
      <c r="H5" s="49">
        <f>TEXT(H4,"aaa")</f>
        <v/>
      </c>
      <c r="I5" s="49">
        <f>TEXT(I4,"aaa")</f>
        <v/>
      </c>
      <c r="J5" s="49">
        <f>TEXT(J4,"aaa")</f>
        <v/>
      </c>
      <c r="K5" s="49">
        <f>TEXT(K4,"aaa")</f>
        <v/>
      </c>
      <c r="L5" s="49">
        <f>TEXT(L4,"aaa")</f>
        <v/>
      </c>
      <c r="M5" s="49" t="n"/>
      <c r="N5" s="49">
        <f>TEXT(N4,"aaa")</f>
        <v/>
      </c>
      <c r="O5" s="49">
        <f>TEXT(O4,"aaa")</f>
        <v/>
      </c>
      <c r="P5" s="49">
        <f>TEXT(P4,"aaa")</f>
        <v/>
      </c>
      <c r="Q5" s="49">
        <f>TEXT(Q4,"aaa")</f>
        <v/>
      </c>
      <c r="R5" s="49">
        <f>TEXT(R4,"aaa")</f>
        <v/>
      </c>
      <c r="S5" s="49">
        <f>TEXT(S4,"aaa")</f>
        <v/>
      </c>
      <c r="T5" s="49">
        <f>TEXT(T4,"aaa")</f>
        <v/>
      </c>
      <c r="U5" s="49">
        <f>TEXT(U4,"aaa")</f>
        <v/>
      </c>
      <c r="V5" s="49">
        <f>TEXT(V4,"aaa")</f>
        <v/>
      </c>
      <c r="W5" s="49">
        <f>TEXT(W4,"aaa")</f>
        <v/>
      </c>
      <c r="X5" s="49">
        <f>TEXT(X4,"aaa")</f>
        <v/>
      </c>
      <c r="Y5" s="49">
        <f>TEXT(Y4,"aaa")</f>
        <v/>
      </c>
      <c r="Z5" s="49">
        <f>TEXT(Z4,"aaa")</f>
        <v/>
      </c>
      <c r="AA5" s="49">
        <f>TEXT(AA4,"aaa")</f>
        <v/>
      </c>
      <c r="AB5" s="49">
        <f>TEXT(AB4,"aaa")</f>
        <v/>
      </c>
      <c r="AC5" s="49">
        <f>TEXT(AC4,"aaa")</f>
        <v/>
      </c>
      <c r="AD5" s="49">
        <f>TEXT(AD4,"aaa")</f>
        <v/>
      </c>
      <c r="AE5" s="49">
        <f>TEXT(AE4,"aaa")</f>
        <v/>
      </c>
      <c r="AF5" s="49">
        <f>TEXT(AF4,"aaa")</f>
        <v/>
      </c>
      <c r="AG5" s="49">
        <f>TEXT(AG4,"aaa")</f>
        <v/>
      </c>
      <c r="AH5" s="26" t="inlineStr">
        <is>
          <t>出勤</t>
        </is>
      </c>
      <c r="AI5" s="26" t="inlineStr">
        <is>
          <t>欠勤</t>
        </is>
      </c>
      <c r="AJ5" s="32" t="inlineStr">
        <is>
          <t>残業</t>
        </is>
      </c>
    </row>
    <row r="6" ht="18" customHeight="1" s="79">
      <c r="A6" s="23" t="inlineStr">
        <is>
          <t>荒木</t>
        </is>
      </c>
      <c r="B6" s="27" t="inlineStr">
        <is>
          <t>出/休</t>
        </is>
      </c>
      <c r="C6" s="50">
        <f t="array" ref="C6">_xlfn.IFS(OR(C$5="土",C$5="日",IFERROR(VLOOKUP(C$4,'data base'!$D$2:$F$30,3,FALSE),"")="休"),"休",C7="有休","欠",C$5="","",TRUE,"出")</f>
        <v/>
      </c>
      <c r="D6" s="50">
        <f t="array" ref="D6">_xlfn.IFS(OR(D$5="土",D$5="日",IFERROR(VLOOKUP(D$4,'data base'!$D$2:$F$30,3,FALSE),"")="休"),"休",D7="有休","欠",D$5="","",TRUE,"出")</f>
        <v/>
      </c>
      <c r="E6" s="50">
        <f t="array" ref="E6">_xlfn.IFS(OR(E$5="土",E$5="日",IFERROR(VLOOKUP(E$4,'data base'!$D$2:$F$30,3,FALSE),"")="休"),"休",E7="有休","欠",E$5="","",TRUE,"出")</f>
        <v/>
      </c>
      <c r="F6" s="50">
        <f t="array" ref="F6">_xlfn.IFS(OR(F$5="土",F$5="日",IFERROR(VLOOKUP(F$4,'data base'!$D$2:$F$30,3,FALSE),"")="休"),"休",F7="有休","欠",F$5="","",TRUE,"出")</f>
        <v/>
      </c>
      <c r="G6" s="50">
        <f t="array" ref="G6">_xlfn.IFS(OR(G$5="土",G$5="日",IFERROR(VLOOKUP(G$4,'data base'!$D$2:$F$30,3,FALSE),"")="休"),"休",G7="有休","欠",G$5="","",TRUE,"出")</f>
        <v/>
      </c>
      <c r="H6" s="50">
        <f t="array" ref="H6">_xlfn.IFS(OR(H$5="土",H$5="日",IFERROR(VLOOKUP(H$4,'data base'!$D$2:$F$30,3,FALSE),"")="休"),"休",H7="有休","欠",H$5="","",TRUE,"出")</f>
        <v/>
      </c>
      <c r="I6" s="50">
        <f t="array" ref="I6">_xlfn.IFS(OR(I$5="土",I$5="日",IFERROR(VLOOKUP(I$4,'data base'!$D$2:$F$30,3,FALSE),"")="休"),"休",I7="有休","欠",I$5="","",TRUE,"出")</f>
        <v/>
      </c>
      <c r="J6" s="50">
        <f t="array" ref="J6">_xlfn.IFS(OR(J$5="土",J$5="日",IFERROR(VLOOKUP(J$4,'data base'!$D$2:$F$30,3,FALSE),"")="休"),"休",J7="有休","欠",J$5="","",TRUE,"出")</f>
        <v/>
      </c>
      <c r="K6" s="50">
        <f t="array" ref="K6">_xlfn.IFS(OR(K$5="土",K$5="日",IFERROR(VLOOKUP(K$4,'data base'!$D$2:$F$30,3,FALSE),"")="休"),"休",K7="有休","欠",K$5="","",TRUE,"出")</f>
        <v/>
      </c>
      <c r="L6" s="50">
        <f t="array" ref="L6">_xlfn.IFS(OR(L$5="土",L$5="日",IFERROR(VLOOKUP(L$4,'data base'!$D$2:$F$30,3,FALSE),"")="休"),"休",L7="有休","欠",L$5="","",TRUE,"出")</f>
        <v/>
      </c>
      <c r="M6" s="50" t="n"/>
      <c r="N6" s="50">
        <f t="array" ref="N6">_xlfn.IFS(OR(N$5="土",N$5="日",IFERROR(VLOOKUP(N$4,'data base'!$D$2:$F$30,3,FALSE),"")="休"),"休",N7="有休","欠",N$5="","",TRUE,"出")</f>
        <v/>
      </c>
      <c r="O6" s="50">
        <f t="array" ref="O6">_xlfn.IFS(OR(O$5="土",O$5="日",IFERROR(VLOOKUP(O$4,'data base'!$D$2:$F$30,3,FALSE),"")="休"),"休",O7="有休","欠",O$5="","",TRUE,"出")</f>
        <v/>
      </c>
      <c r="P6" s="50">
        <f t="array" ref="P6">_xlfn.IFS(OR(P$5="土",P$5="日",IFERROR(VLOOKUP(P$4,'data base'!$D$2:$F$30,3,FALSE),"")="休"),"休",P7="有休","欠",P$5="","",TRUE,"出")</f>
        <v/>
      </c>
      <c r="Q6" s="50">
        <f t="array" ref="Q6">_xlfn.IFS(OR(Q$5="土",Q$5="日",IFERROR(VLOOKUP(Q$4,'data base'!$D$2:$F$30,3,FALSE),"")="休"),"休",Q7="有休","欠",Q$5="","",TRUE,"出")</f>
        <v/>
      </c>
      <c r="R6" s="50">
        <f t="array" ref="R6">_xlfn.IFS(OR(R$5="土",R$5="日",IFERROR(VLOOKUP(R$4,'data base'!$D$2:$F$30,3,FALSE),"")="休"),"休",R7="有休","欠",R$5="","",TRUE,"出")</f>
        <v/>
      </c>
      <c r="S6" s="50">
        <f t="array" ref="S6">_xlfn.IFS(OR(S$5="土",S$5="日",IFERROR(VLOOKUP(S$4,'data base'!$D$2:$F$30,3,FALSE),"")="休"),"休",S7="有休","欠",S$5="","",TRUE,"出")</f>
        <v/>
      </c>
      <c r="T6" s="50">
        <f t="array" ref="T6">_xlfn.IFS(OR(T$5="土",T$5="日",IFERROR(VLOOKUP(T$4,'data base'!$D$2:$F$30,3,FALSE),"")="休"),"休",T7="有休","欠",T$5="","",TRUE,"出")</f>
        <v/>
      </c>
      <c r="U6" s="50">
        <f t="array" ref="U6">_xlfn.IFS(OR(U$5="土",U$5="日",IFERROR(VLOOKUP(U$4,'data base'!$D$2:$F$30,3,FALSE),"")="休"),"休",U7="有休","欠",U$5="","",TRUE,"出")</f>
        <v/>
      </c>
      <c r="V6" s="50">
        <f t="array" ref="V6">_xlfn.IFS(OR(V$5="土",V$5="日",IFERROR(VLOOKUP(V$4,'data base'!$D$2:$F$30,3,FALSE),"")="休"),"休",V7="有休","欠",V$5="","",TRUE,"出")</f>
        <v/>
      </c>
      <c r="W6" s="50">
        <f t="array" ref="W6">_xlfn.IFS(OR(W$5="土",W$5="日",IFERROR(VLOOKUP(W$4,'data base'!$D$2:$F$30,3,FALSE),"")="休"),"休",W7="有休","欠",W$5="","",TRUE,"出")</f>
        <v/>
      </c>
      <c r="X6" s="50">
        <f t="array" ref="X6">_xlfn.IFS(OR(X$5="土",X$5="日",IFERROR(VLOOKUP(X$4,'data base'!$D$2:$F$30,3,FALSE),"")="休"),"休",X7="有休","欠",X$5="","",TRUE,"出")</f>
        <v/>
      </c>
      <c r="Y6" s="50">
        <f t="array" ref="Y6">_xlfn.IFS(OR(Y$5="土",Y$5="日",IFERROR(VLOOKUP(Y$4,'data base'!$D$2:$F$30,3,FALSE),"")="休"),"休",Y7="有休","欠",Y$5="","",TRUE,"出")</f>
        <v/>
      </c>
      <c r="Z6" s="50">
        <f t="array" ref="Z6">_xlfn.IFS(OR(Z$5="土",Z$5="日",IFERROR(VLOOKUP(Z$4,'data base'!$D$2:$F$30,3,FALSE),"")="休"),"休",Z7="有休","欠",Z$5="","",TRUE,"出")</f>
        <v/>
      </c>
      <c r="AA6" s="50">
        <f t="array" ref="AA6">_xlfn.IFS(OR(AA$5="土",AA$5="日",IFERROR(VLOOKUP(AA$4,'data base'!$D$2:$F$30,3,FALSE),"")="休"),"休",AA7="有休","欠",AA$5="","",TRUE,"出")</f>
        <v/>
      </c>
      <c r="AB6" s="50">
        <f t="array" ref="AB6">_xlfn.IFS(OR(AB$5="土",AB$5="日",IFERROR(VLOOKUP(AB$4,'data base'!$D$2:$F$30,3,FALSE),"")="休"),"休",AB7="有休","欠",AB$5="","",TRUE,"出")</f>
        <v/>
      </c>
      <c r="AC6" s="50">
        <f t="array" ref="AC6">_xlfn.IFS(OR(AC$5="土",AC$5="日",IFERROR(VLOOKUP(AC$4,'data base'!$D$2:$F$30,3,FALSE),"")="休"),"休",AC7="有休","欠",AC$5="","",TRUE,"出")</f>
        <v/>
      </c>
      <c r="AD6" s="50">
        <f t="array" ref="AD6">_xlfn.IFS(OR(AD$5="土",AD$5="日",IFERROR(VLOOKUP(AD$4,'data base'!$D$2:$F$30,3,FALSE),"")="休"),"休",AD7="有休","欠",AD$5="","",TRUE,"出")</f>
        <v/>
      </c>
      <c r="AE6" s="50">
        <f t="array" ref="AE6">_xlfn.IFS(OR(AE$5="土",AE$5="日",IFERROR(VLOOKUP(AE$4,'data base'!$D$2:$F$30,3,FALSE),"")="休"),"休",AE7="有休","欠",AE$5="","",TRUE,"出")</f>
        <v/>
      </c>
      <c r="AF6" s="50">
        <f t="array" ref="AF6">_xlfn.IFS(OR(AF$5="土",AF$5="日",IFERROR(VLOOKUP(AF$4,'data base'!$D$2:$F$30,3,FALSE),"")="休"),"休",AF7="有休","欠",AF$5="","",TRUE,"出")</f>
        <v/>
      </c>
      <c r="AG6" s="50">
        <f t="array" ref="AG6">_xlfn.IFS(OR(AG$5="土",AG$5="日",IFERROR(VLOOKUP(AG$4,'data base'!$D$2:$F$30,3,FALSE),"")="休"),"休",AG7="有休","欠",AG$5="","",TRUE,"出")</f>
        <v/>
      </c>
      <c r="AH6" s="28">
        <f>COUNTIF(C6:AG6,"出")</f>
        <v/>
      </c>
      <c r="AI6" s="58">
        <f>COUNTIF(B6:AF6,"欠")</f>
        <v/>
      </c>
      <c r="AJ6" s="29" t="n"/>
    </row>
    <row r="7" ht="18" customHeight="1" s="79">
      <c r="A7" s="25" t="inlineStr">
        <is>
          <t>寿徳</t>
        </is>
      </c>
      <c r="B7" s="51" t="n"/>
      <c r="C7" s="52" t="n"/>
      <c r="D7" s="52" t="n"/>
      <c r="E7" s="52" t="n"/>
      <c r="F7" s="52" t="n"/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  <c r="V7" s="52" t="n"/>
      <c r="W7" s="52" t="n"/>
      <c r="X7" s="52" t="n"/>
      <c r="Y7" s="52" t="n"/>
      <c r="Z7" s="52" t="n"/>
      <c r="AA7" s="52" t="n"/>
      <c r="AB7" s="52" t="n"/>
      <c r="AC7" s="52" t="n"/>
      <c r="AD7" s="52" t="n"/>
      <c r="AE7" s="52" t="n"/>
      <c r="AF7" s="52" t="n"/>
      <c r="AG7" s="52" t="n"/>
      <c r="AH7" s="28" t="n"/>
      <c r="AI7" s="58" t="n"/>
      <c r="AJ7" s="29" t="n"/>
    </row>
    <row r="8" ht="18" customHeight="1" s="79">
      <c r="A8" s="33" t="inlineStr">
        <is>
          <t>竹本</t>
        </is>
      </c>
      <c r="B8" s="27" t="inlineStr">
        <is>
          <t>出/休</t>
        </is>
      </c>
      <c r="C8" s="50">
        <f t="array" ref="C8">_xlfn.IFS(OR(C$5="土",C$5="日",IFERROR(VLOOKUP(C$4,'data base'!$D$2:$F$30,3,FALSE),"")="休"),"休",C9="有休","欠",C$5="","",TRUE,"出")</f>
        <v/>
      </c>
      <c r="D8" s="50">
        <f t="array" ref="D8">_xlfn.IFS(OR(D$5="土",D$5="日",IFERROR(VLOOKUP(D$4,'data base'!$D$2:$F$30,3,FALSE),"")="休"),"休",D9="有休","欠",D$5="","",TRUE,"出")</f>
        <v/>
      </c>
      <c r="E8" s="50">
        <f t="array" ref="E8">_xlfn.IFS(OR(E$5="土",E$5="日",IFERROR(VLOOKUP(E$4,'data base'!$D$2:$F$30,3,FALSE),"")="休"),"休",E9="有休","欠",E$5="","",TRUE,"出")</f>
        <v/>
      </c>
      <c r="F8" s="50">
        <f t="array" ref="F8">_xlfn.IFS(OR(F$5="土",F$5="日",IFERROR(VLOOKUP(F$4,'data base'!$D$2:$F$30,3,FALSE),"")="休"),"休",F9="有休","欠",F$5="","",TRUE,"出")</f>
        <v/>
      </c>
      <c r="G8" s="50">
        <f t="array" ref="G8">_xlfn.IFS(OR(G$5="土",G$5="日",IFERROR(VLOOKUP(G$4,'data base'!$D$2:$F$30,3,FALSE),"")="休"),"休",G9="有休","欠",G$5="","",TRUE,"出")</f>
        <v/>
      </c>
      <c r="H8" s="50">
        <f t="array" ref="H8">_xlfn.IFS(OR(H$5="土",H$5="日",IFERROR(VLOOKUP(H$4,'data base'!$D$2:$F$30,3,FALSE),"")="休"),"休",H9="有休","欠",H$5="","",TRUE,"出")</f>
        <v/>
      </c>
      <c r="I8" s="50">
        <f t="array" ref="I8">_xlfn.IFS(OR(I$5="土",I$5="日",IFERROR(VLOOKUP(I$4,'data base'!$D$2:$F$30,3,FALSE),"")="休"),"休",I9="有休","欠",I$5="","",TRUE,"出")</f>
        <v/>
      </c>
      <c r="J8" s="50">
        <f t="array" ref="J8">_xlfn.IFS(OR(J$5="土",J$5="日",IFERROR(VLOOKUP(J$4,'data base'!$D$2:$F$30,3,FALSE),"")="休"),"休",J9="有休","欠",J$5="","",TRUE,"出")</f>
        <v/>
      </c>
      <c r="K8" s="50">
        <f t="array" ref="K8">_xlfn.IFS(OR(K$5="土",K$5="日",IFERROR(VLOOKUP(K$4,'data base'!$D$2:$F$30,3,FALSE),"")="休"),"休",K9="有休","欠",K$5="","",TRUE,"出")</f>
        <v/>
      </c>
      <c r="L8" s="50">
        <f t="array" ref="L8">_xlfn.IFS(OR(L$5="土",L$5="日",IFERROR(VLOOKUP(L$4,'data base'!$D$2:$F$30,3,FALSE),"")="休"),"休",L9="有休","欠",L$5="","",TRUE,"出")</f>
        <v/>
      </c>
      <c r="M8" s="50" t="n"/>
      <c r="N8" s="50">
        <f t="array" ref="N8">_xlfn.IFS(OR(N$5="土",N$5="日",IFERROR(VLOOKUP(N$4,'data base'!$D$2:$F$30,3,FALSE),"")="休"),"休",N9="有休","欠",N$5="","",TRUE,"出")</f>
        <v/>
      </c>
      <c r="O8" s="50">
        <f t="array" ref="O8">_xlfn.IFS(OR(O$5="土",O$5="日",IFERROR(VLOOKUP(O$4,'data base'!$D$2:$F$30,3,FALSE),"")="休"),"休",O9="有休","欠",O$5="","",TRUE,"出")</f>
        <v/>
      </c>
      <c r="P8" s="50">
        <f t="array" ref="P8">_xlfn.IFS(OR(P$5="土",P$5="日",IFERROR(VLOOKUP(P$4,'data base'!$D$2:$F$30,3,FALSE),"")="休"),"休",P9="有休","欠",P$5="","",TRUE,"出")</f>
        <v/>
      </c>
      <c r="Q8" s="50">
        <f t="array" ref="Q8">_xlfn.IFS(OR(Q$5="土",Q$5="日",IFERROR(VLOOKUP(Q$4,'data base'!$D$2:$F$30,3,FALSE),"")="休"),"休",Q9="有休","欠",Q$5="","",TRUE,"出")</f>
        <v/>
      </c>
      <c r="R8" s="50">
        <f t="array" ref="R8">_xlfn.IFS(OR(R$5="土",R$5="日",IFERROR(VLOOKUP(R$4,'data base'!$D$2:$F$30,3,FALSE),"")="休"),"休",R9="有休","欠",R$5="","",TRUE,"出")</f>
        <v/>
      </c>
      <c r="S8" s="50">
        <f t="array" ref="S8">_xlfn.IFS(OR(S$5="土",S$5="日",IFERROR(VLOOKUP(S$4,'data base'!$D$2:$F$30,3,FALSE),"")="休"),"休",S9="有休","欠",S$5="","",TRUE,"出")</f>
        <v/>
      </c>
      <c r="T8" s="50">
        <f t="array" ref="T8">_xlfn.IFS(OR(T$5="土",T$5="日",IFERROR(VLOOKUP(T$4,'data base'!$D$2:$F$30,3,FALSE),"")="休"),"休",T9="有休","欠",T$5="","",TRUE,"出")</f>
        <v/>
      </c>
      <c r="U8" s="50">
        <f t="array" ref="U8">_xlfn.IFS(OR(U$5="土",U$5="日",IFERROR(VLOOKUP(U$4,'data base'!$D$2:$F$30,3,FALSE),"")="休"),"休",U9="有休","欠",U$5="","",TRUE,"出")</f>
        <v/>
      </c>
      <c r="V8" s="50">
        <f t="array" ref="V8">_xlfn.IFS(OR(V$5="土",V$5="日",IFERROR(VLOOKUP(V$4,'data base'!$D$2:$F$30,3,FALSE),"")="休"),"休",V9="有休","欠",V$5="","",TRUE,"出")</f>
        <v/>
      </c>
      <c r="W8" s="50">
        <f t="array" ref="W8">_xlfn.IFS(OR(W$5="土",W$5="日",IFERROR(VLOOKUP(W$4,'data base'!$D$2:$F$30,3,FALSE),"")="休"),"休",W9="有休","欠",W$5="","",TRUE,"出")</f>
        <v/>
      </c>
      <c r="X8" s="50">
        <f t="array" ref="X8">_xlfn.IFS(OR(X$5="土",X$5="日",IFERROR(VLOOKUP(X$4,'data base'!$D$2:$F$30,3,FALSE),"")="休"),"休",X9="有休","欠",X$5="","",TRUE,"出")</f>
        <v/>
      </c>
      <c r="Y8" s="50">
        <f t="array" ref="Y8">_xlfn.IFS(OR(Y$5="土",Y$5="日",IFERROR(VLOOKUP(Y$4,'data base'!$D$2:$F$30,3,FALSE),"")="休"),"休",Y9="有休","欠",Y$5="","",TRUE,"出")</f>
        <v/>
      </c>
      <c r="Z8" s="50">
        <f t="array" ref="Z8">_xlfn.IFS(OR(Z$5="土",Z$5="日",IFERROR(VLOOKUP(Z$4,'data base'!$D$2:$F$30,3,FALSE),"")="休"),"休",Z9="有休","欠",Z$5="","",TRUE,"出")</f>
        <v/>
      </c>
      <c r="AA8" s="50">
        <f t="array" ref="AA8">_xlfn.IFS(OR(AA$5="土",AA$5="日",IFERROR(VLOOKUP(AA$4,'data base'!$D$2:$F$30,3,FALSE),"")="休"),"休",AA9="有休","欠",AA$5="","",TRUE,"出")</f>
        <v/>
      </c>
      <c r="AB8" s="50">
        <f t="array" ref="AB8">_xlfn.IFS(OR(AB$5="土",AB$5="日",IFERROR(VLOOKUP(AB$4,'data base'!$D$2:$F$30,3,FALSE),"")="休"),"休",AB9="有休","欠",AB$5="","",TRUE,"出")</f>
        <v/>
      </c>
      <c r="AC8" s="50">
        <f t="array" ref="AC8">_xlfn.IFS(OR(AC$5="土",AC$5="日",IFERROR(VLOOKUP(AC$4,'data base'!$D$2:$F$30,3,FALSE),"")="休"),"休",AC9="有休","欠",AC$5="","",TRUE,"出")</f>
        <v/>
      </c>
      <c r="AD8" s="50">
        <f t="array" ref="AD8">_xlfn.IFS(OR(AD$5="土",AD$5="日",IFERROR(VLOOKUP(AD$4,'data base'!$D$2:$F$30,3,FALSE),"")="休"),"休",AD9="有休","欠",AD$5="","",TRUE,"出")</f>
        <v/>
      </c>
      <c r="AE8" s="50">
        <f t="array" ref="AE8">_xlfn.IFS(OR(AE$5="土",AE$5="日",IFERROR(VLOOKUP(AE$4,'data base'!$D$2:$F$30,3,FALSE),"")="休"),"休",AE9="有休","欠",AE$5="","",TRUE,"出")</f>
        <v/>
      </c>
      <c r="AF8" s="50">
        <f t="array" ref="AF8">_xlfn.IFS(OR(AF$5="土",AF$5="日",IFERROR(VLOOKUP(AF$4,'data base'!$D$2:$F$30,3,FALSE),"")="休"),"休",AF9="有休","欠",AF$5="","",TRUE,"出")</f>
        <v/>
      </c>
      <c r="AG8" s="50">
        <f t="array" ref="AG8">_xlfn.IFS(OR(AG$5="土",AG$5="日",IFERROR(VLOOKUP(AG$4,'data base'!$D$2:$F$30,3,FALSE),"")="休"),"休",AG9="有休","欠",AG$5="","",TRUE,"出")</f>
        <v/>
      </c>
      <c r="AH8" s="28">
        <f>COUNTIF(C8:AG8,"出")</f>
        <v/>
      </c>
      <c r="AI8" s="58">
        <f>COUNTIF(B8:AF8,"欠")</f>
        <v/>
      </c>
      <c r="AJ8" s="29" t="n"/>
    </row>
    <row r="9" ht="18" customHeight="1" s="79">
      <c r="A9" s="25" t="inlineStr">
        <is>
          <t>一男</t>
        </is>
      </c>
      <c r="B9" s="30" t="n"/>
      <c r="C9" s="52" t="n"/>
      <c r="D9" s="52" t="n"/>
      <c r="E9" s="52" t="n"/>
      <c r="F9" s="52" t="n"/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  <c r="V9" s="52" t="n"/>
      <c r="W9" s="52" t="n"/>
      <c r="X9" s="52" t="n"/>
      <c r="Y9" s="52" t="n"/>
      <c r="Z9" s="52" t="n"/>
      <c r="AA9" s="52" t="n"/>
      <c r="AB9" s="52" t="n"/>
      <c r="AC9" s="52" t="n"/>
      <c r="AD9" s="52" t="n"/>
      <c r="AE9" s="52" t="n"/>
      <c r="AF9" s="52" t="n"/>
      <c r="AG9" s="52" t="n"/>
      <c r="AH9" s="28" t="n"/>
      <c r="AI9" s="58" t="n"/>
      <c r="AJ9" s="29" t="n"/>
    </row>
    <row r="10" ht="18" customHeight="1" s="79">
      <c r="A10" s="23" t="inlineStr">
        <is>
          <t>内藤</t>
        </is>
      </c>
      <c r="B10" s="27" t="inlineStr">
        <is>
          <t>出/休</t>
        </is>
      </c>
      <c r="C10" s="50">
        <f t="array" ref="C10">_xlfn.IFS(OR(C$5="土",C$5="日",IFERROR(VLOOKUP(C$4,'data base'!$D$2:$F$30,3,FALSE),"")="休"),"休",C11="有休","欠",C$5="","",TRUE,"出")</f>
        <v/>
      </c>
      <c r="D10" s="50">
        <f t="array" ref="D10">_xlfn.IFS(OR(D$5="土",D$5="日",IFERROR(VLOOKUP(D$4,'data base'!$D$2:$F$30,3,FALSE),"")="休"),"休",D11="有休","欠",D$5="","",TRUE,"出")</f>
        <v/>
      </c>
      <c r="E10" s="50">
        <f t="array" ref="E10">_xlfn.IFS(OR(E$5="土",E$5="日",IFERROR(VLOOKUP(E$4,'data base'!$D$2:$F$30,3,FALSE),"")="休"),"休",E11="有休","欠",E$5="","",TRUE,"出")</f>
        <v/>
      </c>
      <c r="F10" s="50">
        <f t="array" ref="F10">_xlfn.IFS(OR(F$5="土",F$5="日",IFERROR(VLOOKUP(F$4,'data base'!$D$2:$F$30,3,FALSE),"")="休"),"休",F11="有休","欠",F$5="","",TRUE,"出")</f>
        <v/>
      </c>
      <c r="G10" s="50">
        <f t="array" ref="G10">_xlfn.IFS(OR(G$5="土",G$5="日",IFERROR(VLOOKUP(G$4,'data base'!$D$2:$F$30,3,FALSE),"")="休"),"休",G11="有休","欠",G$5="","",TRUE,"出")</f>
        <v/>
      </c>
      <c r="H10" s="50">
        <f t="array" ref="H10">_xlfn.IFS(OR(H$5="土",H$5="日",IFERROR(VLOOKUP(H$4,'data base'!$D$2:$F$30,3,FALSE),"")="休"),"休",H11="有休","欠",H$5="","",TRUE,"出")</f>
        <v/>
      </c>
      <c r="I10" s="50">
        <f t="array" ref="I10">_xlfn.IFS(OR(I$5="土",I$5="日",IFERROR(VLOOKUP(I$4,'data base'!$D$2:$F$30,3,FALSE),"")="休"),"休",I11="有休","欠",I$5="","",TRUE,"出")</f>
        <v/>
      </c>
      <c r="J10" s="50">
        <f t="array" ref="J10">_xlfn.IFS(OR(J$5="土",J$5="日",IFERROR(VLOOKUP(J$4,'data base'!$D$2:$F$30,3,FALSE),"")="休"),"休",J11="有休","欠",J$5="","",TRUE,"出")</f>
        <v/>
      </c>
      <c r="K10" s="50">
        <f t="array" ref="K10">_xlfn.IFS(OR(K$5="土",K$5="日",IFERROR(VLOOKUP(K$4,'data base'!$D$2:$F$30,3,FALSE),"")="休"),"休",K11="有休","欠",K$5="","",TRUE,"出")</f>
        <v/>
      </c>
      <c r="L10" s="50">
        <f t="array" ref="L10">_xlfn.IFS(OR(L$5="土",L$5="日",IFERROR(VLOOKUP(L$4,'data base'!$D$2:$F$30,3,FALSE),"")="休"),"休",L11="有休","欠",L$5="","",TRUE,"出")</f>
        <v/>
      </c>
      <c r="M10" s="50" t="n"/>
      <c r="N10" s="50">
        <f t="array" ref="N10">_xlfn.IFS(OR(N$5="土",N$5="日",IFERROR(VLOOKUP(N$4,'data base'!$D$2:$F$30,3,FALSE),"")="休"),"休",N11="有休","欠",N$5="","",TRUE,"出")</f>
        <v/>
      </c>
      <c r="O10" s="50">
        <f t="array" ref="O10">_xlfn.IFS(OR(O$5="土",O$5="日",IFERROR(VLOOKUP(O$4,'data base'!$D$2:$F$30,3,FALSE),"")="休"),"休",O11="有休","欠",O$5="","",TRUE,"出")</f>
        <v/>
      </c>
      <c r="P10" s="50">
        <f t="array" ref="P10">_xlfn.IFS(OR(P$5="土",P$5="日",IFERROR(VLOOKUP(P$4,'data base'!$D$2:$F$30,3,FALSE),"")="休"),"休",P11="有休","欠",P$5="","",TRUE,"出")</f>
        <v/>
      </c>
      <c r="Q10" s="50">
        <f t="array" ref="Q10">_xlfn.IFS(OR(Q$5="土",Q$5="日",IFERROR(VLOOKUP(Q$4,'data base'!$D$2:$F$30,3,FALSE),"")="休"),"休",Q11="有休","欠",Q$5="","",TRUE,"出")</f>
        <v/>
      </c>
      <c r="R10" s="50">
        <f t="array" ref="R10">_xlfn.IFS(OR(R$5="土",R$5="日",IFERROR(VLOOKUP(R$4,'data base'!$D$2:$F$30,3,FALSE),"")="休"),"休",R11="有休","欠",R$5="","",TRUE,"出")</f>
        <v/>
      </c>
      <c r="S10" s="50">
        <f t="array" ref="S10">_xlfn.IFS(OR(S$5="土",S$5="日",IFERROR(VLOOKUP(S$4,'data base'!$D$2:$F$30,3,FALSE),"")="休"),"休",S11="有休","欠",S$5="","",TRUE,"出")</f>
        <v/>
      </c>
      <c r="T10" s="50">
        <f t="array" ref="T10">_xlfn.IFS(OR(T$5="土",T$5="日",IFERROR(VLOOKUP(T$4,'data base'!$D$2:$F$30,3,FALSE),"")="休"),"休",T11="有休","欠",T$5="","",TRUE,"出")</f>
        <v/>
      </c>
      <c r="U10" s="50">
        <f t="array" ref="U10">_xlfn.IFS(OR(U$5="土",U$5="日",IFERROR(VLOOKUP(U$4,'data base'!$D$2:$F$30,3,FALSE),"")="休"),"休",U11="有休","欠",U$5="","",TRUE,"出")</f>
        <v/>
      </c>
      <c r="V10" s="50">
        <f t="array" ref="V10">_xlfn.IFS(OR(V$5="土",V$5="日",IFERROR(VLOOKUP(V$4,'data base'!$D$2:$F$30,3,FALSE),"")="休"),"休",V11="有休","欠",V$5="","",TRUE,"出")</f>
        <v/>
      </c>
      <c r="W10" s="50">
        <f t="array" ref="W10">_xlfn.IFS(OR(W$5="土",W$5="日",IFERROR(VLOOKUP(W$4,'data base'!$D$2:$F$30,3,FALSE),"")="休"),"休",W11="有休","欠",W$5="","",TRUE,"出")</f>
        <v/>
      </c>
      <c r="X10" s="50">
        <f t="array" ref="X10">_xlfn.IFS(OR(X$5="土",X$5="日",IFERROR(VLOOKUP(X$4,'data base'!$D$2:$F$30,3,FALSE),"")="休"),"休",X11="有休","欠",X$5="","",TRUE,"出")</f>
        <v/>
      </c>
      <c r="Y10" s="50">
        <f t="array" ref="Y10">_xlfn.IFS(OR(Y$5="土",Y$5="日",IFERROR(VLOOKUP(Y$4,'data base'!$D$2:$F$30,3,FALSE),"")="休"),"休",Y11="有休","欠",Y$5="","",TRUE,"出")</f>
        <v/>
      </c>
      <c r="Z10" s="50">
        <f t="array" ref="Z10">_xlfn.IFS(OR(Z$5="土",Z$5="日",IFERROR(VLOOKUP(Z$4,'data base'!$D$2:$F$30,3,FALSE),"")="休"),"休",Z11="有休","欠",Z$5="","",TRUE,"出")</f>
        <v/>
      </c>
      <c r="AA10" s="50">
        <f t="array" ref="AA10">_xlfn.IFS(OR(AA$5="土",AA$5="日",IFERROR(VLOOKUP(AA$4,'data base'!$D$2:$F$30,3,FALSE),"")="休"),"休",AA11="有休","欠",AA$5="","",TRUE,"出")</f>
        <v/>
      </c>
      <c r="AB10" s="50">
        <f t="array" ref="AB10">_xlfn.IFS(OR(AB$5="土",AB$5="日",IFERROR(VLOOKUP(AB$4,'data base'!$D$2:$F$30,3,FALSE),"")="休"),"休",AB11="有休","欠",AB$5="","",TRUE,"出")</f>
        <v/>
      </c>
      <c r="AC10" s="50">
        <f t="array" ref="AC10">_xlfn.IFS(OR(AC$5="土",AC$5="日",IFERROR(VLOOKUP(AC$4,'data base'!$D$2:$F$30,3,FALSE),"")="休"),"休",AC11="有休","欠",AC$5="","",TRUE,"出")</f>
        <v/>
      </c>
      <c r="AD10" s="50">
        <f t="array" ref="AD10">_xlfn.IFS(OR(AD$5="土",AD$5="日",IFERROR(VLOOKUP(AD$4,'data base'!$D$2:$F$30,3,FALSE),"")="休"),"休",AD11="有休","欠",AD$5="","",TRUE,"出")</f>
        <v/>
      </c>
      <c r="AE10" s="50">
        <f t="array" ref="AE10">_xlfn.IFS(OR(AE$5="土",AE$5="日",IFERROR(VLOOKUP(AE$4,'data base'!$D$2:$F$30,3,FALSE),"")="休"),"休",AE11="有休","欠",AE$5="","",TRUE,"出")</f>
        <v/>
      </c>
      <c r="AF10" s="50">
        <f t="array" ref="AF10">_xlfn.IFS(OR(AF$5="土",AF$5="日",IFERROR(VLOOKUP(AF$4,'data base'!$D$2:$F$30,3,FALSE),"")="休"),"休",AF11="有休","欠",AF$5="","",TRUE,"出")</f>
        <v/>
      </c>
      <c r="AG10" s="50">
        <f t="array" ref="AG10">_xlfn.IFS(OR(AG$5="土",AG$5="日",IFERROR(VLOOKUP(AG$4,'data base'!$D$2:$F$30,3,FALSE),"")="休"),"休",AG11="有休","欠",AG$5="","",TRUE,"出")</f>
        <v/>
      </c>
      <c r="AH10" s="28">
        <f>COUNTIF(C10:AG10,"出")</f>
        <v/>
      </c>
      <c r="AI10" s="58">
        <f>COUNTIF(B10:AF10,"欠")</f>
        <v/>
      </c>
      <c r="AJ10" s="29" t="n"/>
    </row>
    <row r="11" ht="18" customHeight="1" s="79">
      <c r="A11" s="25" t="inlineStr">
        <is>
          <t>建郎</t>
        </is>
      </c>
      <c r="B11" s="30" t="n"/>
      <c r="C11" s="52" t="n"/>
      <c r="D11" s="52" t="n"/>
      <c r="E11" s="52" t="n"/>
      <c r="F11" s="52" t="n"/>
      <c r="G11" s="52" t="n"/>
      <c r="H11" s="52" t="n"/>
      <c r="I11" s="52" t="n"/>
      <c r="J11" s="52" t="n"/>
      <c r="K11" s="52" t="n"/>
      <c r="L11" s="52" t="n"/>
      <c r="M11" s="52" t="n"/>
      <c r="N11" s="52" t="n"/>
      <c r="O11" s="72" t="n"/>
      <c r="P11" s="72" t="n"/>
      <c r="Q11" s="52" t="n"/>
      <c r="R11" s="52" t="n"/>
      <c r="S11" s="52" t="n"/>
      <c r="T11" s="52" t="n"/>
      <c r="U11" s="52" t="n"/>
      <c r="V11" s="52" t="n"/>
      <c r="W11" s="52" t="n"/>
      <c r="X11" s="52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28" t="n"/>
      <c r="AI11" s="58" t="n"/>
      <c r="AJ11" s="29" t="n"/>
    </row>
    <row r="12" ht="18" customHeight="1" s="79">
      <c r="A12" s="23" t="inlineStr">
        <is>
          <t>金本</t>
        </is>
      </c>
      <c r="B12" s="27" t="inlineStr">
        <is>
          <t>出/休</t>
        </is>
      </c>
      <c r="C12" s="50">
        <f t="array" ref="C12">_xlfn.IFS(OR(C$5="土",C$5="日",IFERROR(VLOOKUP(C$4,'data base'!$D$2:$F$30,3,FALSE),"")="休"),"休",C13="有休","欠",C$5="","",TRUE,"出")</f>
        <v/>
      </c>
      <c r="D12" s="50">
        <f t="array" ref="D12">_xlfn.IFS(OR(D$5="土",D$5="日",IFERROR(VLOOKUP(D$4,'data base'!$D$2:$F$30,3,FALSE),"")="休"),"休",D13="有休","欠",D$5="","",TRUE,"出")</f>
        <v/>
      </c>
      <c r="E12" s="50">
        <f t="array" ref="E12">_xlfn.IFS(OR(E$5="土",E$5="日",IFERROR(VLOOKUP(E$4,'data base'!$D$2:$F$30,3,FALSE),"")="休"),"休",E13="有休","欠",E$5="","",TRUE,"出")</f>
        <v/>
      </c>
      <c r="F12" s="50">
        <f t="array" ref="F12">_xlfn.IFS(OR(F$5="土",F$5="日",IFERROR(VLOOKUP(F$4,'data base'!$D$2:$F$30,3,FALSE),"")="休"),"休",F13="有休","欠",F$5="","",TRUE,"出")</f>
        <v/>
      </c>
      <c r="G12" s="50">
        <f t="array" ref="G12">_xlfn.IFS(OR(G$5="土",G$5="日",IFERROR(VLOOKUP(G$4,'data base'!$D$2:$F$30,3,FALSE),"")="休"),"休",G13="有休","欠",G$5="","",TRUE,"出")</f>
        <v/>
      </c>
      <c r="H12" s="50">
        <f t="array" ref="H12">_xlfn.IFS(OR(H$5="土",H$5="日",IFERROR(VLOOKUP(H$4,'data base'!$D$2:$F$30,3,FALSE),"")="休"),"休",H13="有休","欠",H$5="","",TRUE,"出")</f>
        <v/>
      </c>
      <c r="I12" s="50">
        <f t="array" ref="I12">_xlfn.IFS(OR(I$5="土",I$5="日",IFERROR(VLOOKUP(I$4,'data base'!$D$2:$F$30,3,FALSE),"")="休"),"休",I13="有休","欠",I$5="","",TRUE,"出")</f>
        <v/>
      </c>
      <c r="J12" s="50">
        <f t="array" ref="J12">_xlfn.IFS(OR(J$5="土",J$5="日",IFERROR(VLOOKUP(J$4,'data base'!$D$2:$F$30,3,FALSE),"")="休"),"休",J13="有休","欠",J$5="","",TRUE,"出")</f>
        <v/>
      </c>
      <c r="K12" s="50">
        <f t="array" ref="K12">_xlfn.IFS(OR(K$5="土",K$5="日",IFERROR(VLOOKUP(K$4,'data base'!$D$2:$F$30,3,FALSE),"")="休"),"休",K13="有休","欠",K$5="","",TRUE,"出")</f>
        <v/>
      </c>
      <c r="L12" s="50">
        <f t="array" ref="L12">_xlfn.IFS(OR(L$5="土",L$5="日",IFERROR(VLOOKUP(L$4,'data base'!$D$2:$F$30,3,FALSE),"")="休"),"休",L13="有休","欠",L$5="","",TRUE,"出")</f>
        <v/>
      </c>
      <c r="M12" s="50" t="n"/>
      <c r="N12" s="50">
        <f t="array" ref="N12">_xlfn.IFS(OR(N$5="土",N$5="日",IFERROR(VLOOKUP(N$4,'data base'!$D$2:$F$30,3,FALSE),"")="休"),"休",N13="有休","欠",N$5="","",TRUE,"出")</f>
        <v/>
      </c>
      <c r="O12" s="50">
        <f t="array" ref="O12">_xlfn.IFS(OR(O$5="土",O$5="日",IFERROR(VLOOKUP(O$4,'data base'!$D$2:$F$30,3,FALSE),"")="休"),"休",O13="有休","欠",O$5="","",TRUE,"出")</f>
        <v/>
      </c>
      <c r="P12" s="50">
        <f t="array" ref="P12">_xlfn.IFS(OR(P$5="土",P$5="日",IFERROR(VLOOKUP(P$4,'data base'!$D$2:$F$30,3,FALSE),"")="休"),"休",P13="有休","欠",P$5="","",TRUE,"出")</f>
        <v/>
      </c>
      <c r="Q12" s="50">
        <f t="array" ref="Q12">_xlfn.IFS(OR(Q$5="土",Q$5="日",IFERROR(VLOOKUP(Q$4,'data base'!$D$2:$F$30,3,FALSE),"")="休"),"休",Q13="有休","欠",Q$5="","",TRUE,"出")</f>
        <v/>
      </c>
      <c r="R12" s="50">
        <f t="array" ref="R12">_xlfn.IFS(OR(R$5="土",R$5="日",IFERROR(VLOOKUP(R$4,'data base'!$D$2:$F$30,3,FALSE),"")="休"),"休",R13="有休","欠",R$5="","",TRUE,"出")</f>
        <v/>
      </c>
      <c r="S12" s="50">
        <f t="array" ref="S12">_xlfn.IFS(OR(S$5="土",S$5="日",IFERROR(VLOOKUP(S$4,'data base'!$D$2:$F$30,3,FALSE),"")="休"),"休",S13="有休","欠",S$5="","",TRUE,"出")</f>
        <v/>
      </c>
      <c r="T12" s="50">
        <f t="array" ref="T12">_xlfn.IFS(OR(T$5="土",T$5="日",IFERROR(VLOOKUP(T$4,'data base'!$D$2:$F$30,3,FALSE),"")="休"),"休",T13="有休","欠",T$5="","",TRUE,"出")</f>
        <v/>
      </c>
      <c r="U12" s="50">
        <f t="array" ref="U12">_xlfn.IFS(OR(U$5="土",U$5="日",IFERROR(VLOOKUP(U$4,'data base'!$D$2:$F$30,3,FALSE),"")="休"),"休",U13="有休","欠",U$5="","",TRUE,"出")</f>
        <v/>
      </c>
      <c r="V12" s="50">
        <f t="array" ref="V12">_xlfn.IFS(OR(V$5="土",V$5="日",IFERROR(VLOOKUP(V$4,'data base'!$D$2:$F$30,3,FALSE),"")="休"),"休",V13="有休","欠",V$5="","",TRUE,"出")</f>
        <v/>
      </c>
      <c r="W12" s="50">
        <f t="array" ref="W12">_xlfn.IFS(OR(W$5="土",W$5="日",IFERROR(VLOOKUP(W$4,'data base'!$D$2:$F$30,3,FALSE),"")="休"),"休",W13="有休","欠",W$5="","",TRUE,"出")</f>
        <v/>
      </c>
      <c r="X12" s="50">
        <f t="array" ref="X12">_xlfn.IFS(OR(X$5="土",X$5="日",IFERROR(VLOOKUP(X$4,'data base'!$D$2:$F$30,3,FALSE),"")="休"),"休",X13="有休","欠",X$5="","",TRUE,"出")</f>
        <v/>
      </c>
      <c r="Y12" s="50">
        <f t="array" ref="Y12">_xlfn.IFS(OR(Y$5="土",Y$5="日",IFERROR(VLOOKUP(Y$4,'data base'!$D$2:$F$30,3,FALSE),"")="休"),"休",Y13="有休","欠",Y$5="","",TRUE,"出")</f>
        <v/>
      </c>
      <c r="Z12" s="50">
        <f t="array" ref="Z12">_xlfn.IFS(OR(Z$5="土",Z$5="日",IFERROR(VLOOKUP(Z$4,'data base'!$D$2:$F$30,3,FALSE),"")="休"),"休",Z13="有休","欠",Z$5="","",TRUE,"出")</f>
        <v/>
      </c>
      <c r="AA12" s="50">
        <f t="array" ref="AA12">_xlfn.IFS(OR(AA$5="土",AA$5="日",IFERROR(VLOOKUP(AA$4,'data base'!$D$2:$F$30,3,FALSE),"")="休"),"休",AA13="有休","欠",AA$5="","",TRUE,"出")</f>
        <v/>
      </c>
      <c r="AB12" s="50">
        <f t="array" ref="AB12">_xlfn.IFS(OR(AB$5="土",AB$5="日",IFERROR(VLOOKUP(AB$4,'data base'!$D$2:$F$30,3,FALSE),"")="休"),"休",AB13="有休","欠",AB$5="","",TRUE,"出")</f>
        <v/>
      </c>
      <c r="AC12" s="50">
        <f t="array" ref="AC12">_xlfn.IFS(OR(AC$5="土",AC$5="日",IFERROR(VLOOKUP(AC$4,'data base'!$D$2:$F$30,3,FALSE),"")="休"),"休",AC13="有休","欠",AC$5="","",TRUE,"出")</f>
        <v/>
      </c>
      <c r="AD12" s="50">
        <f t="array" ref="AD12">_xlfn.IFS(OR(AD$5="土",AD$5="日",IFERROR(VLOOKUP(AD$4,'data base'!$D$2:$F$30,3,FALSE),"")="休"),"休",AD13="有休","欠",AD$5="","",TRUE,"出")</f>
        <v/>
      </c>
      <c r="AE12" s="50">
        <f t="array" ref="AE12">_xlfn.IFS(OR(AE$5="土",AE$5="日",IFERROR(VLOOKUP(AE$4,'data base'!$D$2:$F$30,3,FALSE),"")="休"),"休",AE13="有休","欠",AE$5="","",TRUE,"出")</f>
        <v/>
      </c>
      <c r="AF12" s="50">
        <f t="array" ref="AF12">_xlfn.IFS(OR(AF$5="土",AF$5="日",IFERROR(VLOOKUP(AF$4,'data base'!$D$2:$F$30,3,FALSE),"")="休"),"休",AF13="有休","欠",AF$5="","",TRUE,"出")</f>
        <v/>
      </c>
      <c r="AG12" s="50">
        <f t="array" ref="AG12">_xlfn.IFS(OR(AG$5="土",AG$5="日",IFERROR(VLOOKUP(AG$4,'data base'!$D$2:$F$30,3,FALSE),"")="休"),"休",AG13="有休","欠",AG$5="","",TRUE,"出")</f>
        <v/>
      </c>
      <c r="AH12" s="28">
        <f>COUNTIF(C12:AG12,"出")</f>
        <v/>
      </c>
      <c r="AI12" s="58">
        <f>COUNTIF(B12:AF12,"欠")</f>
        <v/>
      </c>
      <c r="AJ12" s="29" t="n"/>
      <c r="AL12" s="53" t="n"/>
    </row>
    <row r="13" ht="18" customHeight="1" s="79">
      <c r="A13" s="25" t="inlineStr">
        <is>
          <t>英之</t>
        </is>
      </c>
      <c r="B13" s="30" t="n"/>
      <c r="C13" s="52" t="n"/>
      <c r="D13" s="52" t="n"/>
      <c r="E13" s="52" t="n"/>
      <c r="F13" s="52" t="n"/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  <c r="V13" s="52" t="n"/>
      <c r="W13" s="52" t="n"/>
      <c r="X13" s="52" t="n"/>
      <c r="Y13" s="52" t="n"/>
      <c r="Z13" s="52" t="n"/>
      <c r="AA13" s="52" t="n"/>
      <c r="AB13" s="52" t="n"/>
      <c r="AC13" s="52" t="n"/>
      <c r="AD13" s="52" t="n"/>
      <c r="AE13" s="52" t="n"/>
      <c r="AF13" s="52" t="n"/>
      <c r="AG13" s="52" t="n"/>
      <c r="AH13" s="28" t="n"/>
      <c r="AI13" s="58" t="n"/>
      <c r="AJ13" s="29" t="n"/>
    </row>
    <row r="14" ht="18" customHeight="1" s="79">
      <c r="A14" s="23" t="inlineStr">
        <is>
          <t>村上</t>
        </is>
      </c>
      <c r="B14" s="27" t="inlineStr">
        <is>
          <t>出/休</t>
        </is>
      </c>
      <c r="C14" s="50">
        <f t="array" ref="C14">_xlfn.IFS(OR(C$5="土",C$5="日",IFERROR(VLOOKUP(C$4,'data base'!$D$2:$F$30,3,FALSE),"")="休"),"休",C15="有休","欠",C$5="","",TRUE,"出")</f>
        <v/>
      </c>
      <c r="D14" s="50">
        <f t="array" ref="D14">_xlfn.IFS(OR(D$5="土",D$5="日",IFERROR(VLOOKUP(D$4,'data base'!$D$2:$F$30,3,FALSE),"")="休"),"休",D15="有休","欠",D$5="","",TRUE,"出")</f>
        <v/>
      </c>
      <c r="E14" s="50">
        <f t="array" ref="E14">_xlfn.IFS(OR(E$5="土",E$5="日",IFERROR(VLOOKUP(E$4,'data base'!$D$2:$F$30,3,FALSE),"")="休"),"休",E15="有休","欠",E$5="","",TRUE,"出")</f>
        <v/>
      </c>
      <c r="F14" s="50">
        <f t="array" ref="F14">_xlfn.IFS(OR(F$5="土",F$5="日",IFERROR(VLOOKUP(F$4,'data base'!$D$2:$F$30,3,FALSE),"")="休"),"休",F15="有休","欠",F$5="","",TRUE,"出")</f>
        <v/>
      </c>
      <c r="G14" s="50">
        <f t="array" ref="G14">_xlfn.IFS(OR(G$5="土",G$5="日",IFERROR(VLOOKUP(G$4,'data base'!$D$2:$F$30,3,FALSE),"")="休"),"休",G15="有休","欠",G$5="","",TRUE,"出")</f>
        <v/>
      </c>
      <c r="H14" s="50">
        <f t="array" ref="H14">_xlfn.IFS(OR(H$5="土",H$5="日",IFERROR(VLOOKUP(H$4,'data base'!$D$2:$F$30,3,FALSE),"")="休"),"休",H15="有休","欠",H$5="","",TRUE,"出")</f>
        <v/>
      </c>
      <c r="I14" s="50">
        <f t="array" ref="I14">_xlfn.IFS(OR(I$5="土",I$5="日",IFERROR(VLOOKUP(I$4,'data base'!$D$2:$F$30,3,FALSE),"")="休"),"休",I15="有休","欠",I$5="","",TRUE,"出")</f>
        <v/>
      </c>
      <c r="J14" s="50">
        <f t="array" ref="J14">_xlfn.IFS(OR(J$5="土",J$5="日",IFERROR(VLOOKUP(J$4,'data base'!$D$2:$F$30,3,FALSE),"")="休"),"休",J15="有休","欠",J$5="","",TRUE,"出")</f>
        <v/>
      </c>
      <c r="K14" s="50">
        <f t="array" ref="K14">_xlfn.IFS(OR(K$5="土",K$5="日",IFERROR(VLOOKUP(K$4,'data base'!$D$2:$F$30,3,FALSE),"")="休"),"休",K15="有休","欠",K$5="","",TRUE,"出")</f>
        <v/>
      </c>
      <c r="L14" s="50">
        <f t="array" ref="L14">_xlfn.IFS(OR(L$5="土",L$5="日",IFERROR(VLOOKUP(L$4,'data base'!$D$2:$F$30,3,FALSE),"")="休"),"休",L15="有休","欠",L$5="","",TRUE,"出")</f>
        <v/>
      </c>
      <c r="M14" s="50" t="n"/>
      <c r="N14" s="50">
        <f t="array" ref="N14">_xlfn.IFS(OR(N$5="土",N$5="日",IFERROR(VLOOKUP(N$4,'data base'!$D$2:$F$30,3,FALSE),"")="休"),"休",N15="有休","欠",N$5="","",TRUE,"出")</f>
        <v/>
      </c>
      <c r="O14" s="50">
        <f t="array" ref="O14">_xlfn.IFS(OR(O$5="土",O$5="日",IFERROR(VLOOKUP(O$4,'data base'!$D$2:$F$30,3,FALSE),"")="休"),"休",O15="有休","欠",O$5="","",TRUE,"出")</f>
        <v/>
      </c>
      <c r="P14" s="50">
        <f t="array" ref="P14">_xlfn.IFS(OR(P$5="土",P$5="日",IFERROR(VLOOKUP(P$4,'data base'!$D$2:$F$30,3,FALSE),"")="休"),"休",P15="有休","欠",P$5="","",TRUE,"出")</f>
        <v/>
      </c>
      <c r="Q14" s="50">
        <f t="array" ref="Q14">_xlfn.IFS(OR(Q$5="土",Q$5="日",IFERROR(VLOOKUP(Q$4,'data base'!$D$2:$F$30,3,FALSE),"")="休"),"休",Q15="有休","欠",Q$5="","",TRUE,"出")</f>
        <v/>
      </c>
      <c r="R14" s="50">
        <f t="array" ref="R14">_xlfn.IFS(OR(R$5="土",R$5="日",IFERROR(VLOOKUP(R$4,'data base'!$D$2:$F$30,3,FALSE),"")="休"),"休",R15="有休","欠",R$5="","",TRUE,"出")</f>
        <v/>
      </c>
      <c r="S14" s="50">
        <f t="array" ref="S14">_xlfn.IFS(OR(S$5="土",S$5="日",IFERROR(VLOOKUP(S$4,'data base'!$D$2:$F$30,3,FALSE),"")="休"),"休",S15="有休","欠",S$5="","",TRUE,"出")</f>
        <v/>
      </c>
      <c r="T14" s="50">
        <f t="array" ref="T14">_xlfn.IFS(OR(T$5="土",T$5="日",IFERROR(VLOOKUP(T$4,'data base'!$D$2:$F$30,3,FALSE),"")="休"),"休",T15="有休","欠",T$5="","",TRUE,"出")</f>
        <v/>
      </c>
      <c r="U14" s="50">
        <f t="array" ref="U14">_xlfn.IFS(OR(U$5="土",U$5="日",IFERROR(VLOOKUP(U$4,'data base'!$D$2:$F$30,3,FALSE),"")="休"),"休",U15="有休","欠",U$5="","",TRUE,"出")</f>
        <v/>
      </c>
      <c r="V14" s="50">
        <f t="array" ref="V14">_xlfn.IFS(OR(V$5="土",V$5="日",IFERROR(VLOOKUP(V$4,'data base'!$D$2:$F$30,3,FALSE),"")="休"),"休",V15="有休","欠",V$5="","",TRUE,"出")</f>
        <v/>
      </c>
      <c r="W14" s="50">
        <f t="array" ref="W14">_xlfn.IFS(OR(W$5="土",W$5="日",IFERROR(VLOOKUP(W$4,'data base'!$D$2:$F$30,3,FALSE),"")="休"),"休",W15="有休","欠",W$5="","",TRUE,"出")</f>
        <v/>
      </c>
      <c r="X14" s="50">
        <f t="array" ref="X14">_xlfn.IFS(OR(X$5="土",X$5="日",IFERROR(VLOOKUP(X$4,'data base'!$D$2:$F$30,3,FALSE),"")="休"),"休",X15="有休","欠",X$5="","",TRUE,"出")</f>
        <v/>
      </c>
      <c r="Y14" s="50">
        <f t="array" ref="Y14">_xlfn.IFS(OR(Y$5="土",Y$5="日",IFERROR(VLOOKUP(Y$4,'data base'!$D$2:$F$30,3,FALSE),"")="休"),"休",Y15="有休","欠",Y$5="","",TRUE,"出")</f>
        <v/>
      </c>
      <c r="Z14" s="50">
        <f t="array" ref="Z14">_xlfn.IFS(OR(Z$5="土",Z$5="日",IFERROR(VLOOKUP(Z$4,'data base'!$D$2:$F$30,3,FALSE),"")="休"),"休",Z15="有休","欠",Z$5="","",TRUE,"出")</f>
        <v/>
      </c>
      <c r="AA14" s="50">
        <f t="array" ref="AA14">_xlfn.IFS(OR(AA$5="土",AA$5="日",IFERROR(VLOOKUP(AA$4,'data base'!$D$2:$F$30,3,FALSE),"")="休"),"休",AA15="有休","欠",AA$5="","",TRUE,"出")</f>
        <v/>
      </c>
      <c r="AB14" s="50">
        <f t="array" ref="AB14">_xlfn.IFS(OR(AB$5="土",AB$5="日",IFERROR(VLOOKUP(AB$4,'data base'!$D$2:$F$30,3,FALSE),"")="休"),"休",AB15="有休","欠",AB$5="","",TRUE,"出")</f>
        <v/>
      </c>
      <c r="AC14" s="50">
        <f t="array" ref="AC14">_xlfn.IFS(OR(AC$5="土",AC$5="日",IFERROR(VLOOKUP(AC$4,'data base'!$D$2:$F$30,3,FALSE),"")="休"),"休",AC15="有休","欠",AC$5="","",TRUE,"出")</f>
        <v/>
      </c>
      <c r="AD14" s="50">
        <f t="array" ref="AD14">_xlfn.IFS(OR(AD$5="土",AD$5="日",IFERROR(VLOOKUP(AD$4,'data base'!$D$2:$F$30,3,FALSE),"")="休"),"休",AD15="有休","欠",AD$5="","",TRUE,"出")</f>
        <v/>
      </c>
      <c r="AE14" s="50">
        <f t="array" ref="AE14">_xlfn.IFS(OR(AE$5="土",AE$5="日",IFERROR(VLOOKUP(AE$4,'data base'!$D$2:$F$30,3,FALSE),"")="休"),"休",AE15="有休","欠",AE$5="","",TRUE,"出")</f>
        <v/>
      </c>
      <c r="AF14" s="50">
        <f t="array" ref="AF14">_xlfn.IFS(OR(AF$5="土",AF$5="日",IFERROR(VLOOKUP(AF$4,'data base'!$D$2:$F$30,3,FALSE),"")="休"),"休",AF15="有休","欠",AF$5="","",TRUE,"出")</f>
        <v/>
      </c>
      <c r="AG14" s="50">
        <f t="array" ref="AG14">_xlfn.IFS(OR(AG$5="土",AG$5="日",IFERROR(VLOOKUP(AG$4,'data base'!$D$2:$F$30,3,FALSE),"")="休"),"休",AG15="有休","欠",AG$5="","",TRUE,"出")</f>
        <v/>
      </c>
      <c r="AH14" s="28">
        <f>COUNTIF(C14:AG14,"出")</f>
        <v/>
      </c>
      <c r="AI14" s="58">
        <f>COUNTIF(B14:AF14,"欠")</f>
        <v/>
      </c>
      <c r="AJ14" s="29" t="n"/>
    </row>
    <row r="15" ht="18" customHeight="1" s="79">
      <c r="A15" s="25" t="inlineStr">
        <is>
          <t>乙葉</t>
        </is>
      </c>
      <c r="B15" s="30" t="n"/>
      <c r="C15" s="52" t="n"/>
      <c r="D15" s="52" t="n"/>
      <c r="E15" s="52" t="n"/>
      <c r="F15" s="52" t="n"/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  <c r="V15" s="52" t="n"/>
      <c r="W15" s="52" t="n"/>
      <c r="X15" s="52" t="n"/>
      <c r="Y15" s="52" t="n"/>
      <c r="Z15" s="52" t="n"/>
      <c r="AA15" s="52" t="n"/>
      <c r="AB15" s="52" t="n"/>
      <c r="AC15" s="52" t="n"/>
      <c r="AD15" s="52" t="n"/>
      <c r="AE15" s="52" t="n"/>
      <c r="AF15" s="52" t="n"/>
      <c r="AG15" s="52" t="n"/>
      <c r="AH15" s="28" t="n"/>
      <c r="AI15" s="58" t="n"/>
      <c r="AJ15" s="29" t="n"/>
    </row>
    <row r="16" ht="18" customHeight="1" s="79">
      <c r="A16" s="23" t="inlineStr">
        <is>
          <t>仲</t>
        </is>
      </c>
      <c r="B16" s="27" t="inlineStr">
        <is>
          <t>出/休</t>
        </is>
      </c>
      <c r="C16" s="50">
        <f t="array" ref="C16">_xlfn.IFS(OR(C$5="土",C$5="日",IFERROR(VLOOKUP(C$4,'data base'!$D$2:$F$30,3,FALSE),"")="休"),"休",C17="有休","欠",C$5="","",TRUE,"出")</f>
        <v/>
      </c>
      <c r="D16" s="50">
        <f t="array" ref="D16">_xlfn.IFS(OR(D$5="土",D$5="日",IFERROR(VLOOKUP(D$4,'data base'!$D$2:$F$30,3,FALSE),"")="休"),"休",D17="有休","欠",D$5="","",TRUE,"出")</f>
        <v/>
      </c>
      <c r="E16" s="50">
        <f t="array" ref="E16">_xlfn.IFS(OR(E$5="土",E$5="日",IFERROR(VLOOKUP(E$4,'data base'!$D$2:$F$30,3,FALSE),"")="休"),"休",E17="有休","欠",E$5="","",TRUE,"出")</f>
        <v/>
      </c>
      <c r="F16" s="50">
        <f t="array" ref="F16">_xlfn.IFS(OR(F$5="土",F$5="日",IFERROR(VLOOKUP(F$4,'data base'!$D$2:$F$30,3,FALSE),"")="休"),"休",F17="有休","欠",F$5="","",TRUE,"出")</f>
        <v/>
      </c>
      <c r="G16" s="50">
        <f t="array" ref="G16">_xlfn.IFS(OR(G$5="土",G$5="日",IFERROR(VLOOKUP(G$4,'data base'!$D$2:$F$30,3,FALSE),"")="休"),"休",G17="有休","欠",G$5="","",TRUE,"出")</f>
        <v/>
      </c>
      <c r="H16" s="50">
        <f t="array" ref="H16">_xlfn.IFS(OR(H$5="土",H$5="日",IFERROR(VLOOKUP(H$4,'data base'!$D$2:$F$30,3,FALSE),"")="休"),"休",H17="有休","欠",H$5="","",TRUE,"出")</f>
        <v/>
      </c>
      <c r="I16" s="50">
        <f t="array" ref="I16">_xlfn.IFS(OR(I$5="土",I$5="日",IFERROR(VLOOKUP(I$4,'data base'!$D$2:$F$30,3,FALSE),"")="休"),"休",I17="有休","欠",I$5="","",TRUE,"出")</f>
        <v/>
      </c>
      <c r="J16" s="50">
        <f t="array" ref="J16">_xlfn.IFS(OR(J$5="土",J$5="日",IFERROR(VLOOKUP(J$4,'data base'!$D$2:$F$30,3,FALSE),"")="休"),"休",J17="有休","欠",J$5="","",TRUE,"出")</f>
        <v/>
      </c>
      <c r="K16" s="50">
        <f t="array" ref="K16">_xlfn.IFS(OR(K$5="土",K$5="日",IFERROR(VLOOKUP(K$4,'data base'!$D$2:$F$30,3,FALSE),"")="休"),"休",K17="有休","欠",K$5="","",TRUE,"出")</f>
        <v/>
      </c>
      <c r="L16" s="50">
        <f t="array" ref="L16">_xlfn.IFS(OR(L$5="土",L$5="日",IFERROR(VLOOKUP(L$4,'data base'!$D$2:$F$30,3,FALSE),"")="休"),"休",L17="有休","欠",L$5="","",TRUE,"出")</f>
        <v/>
      </c>
      <c r="M16" s="50" t="n"/>
      <c r="N16" s="50">
        <f t="array" ref="N16">_xlfn.IFS(OR(N$5="土",N$5="日",IFERROR(VLOOKUP(N$4,'data base'!$D$2:$F$30,3,FALSE),"")="休"),"休",N17="有休","欠",N$5="","",TRUE,"出")</f>
        <v/>
      </c>
      <c r="O16" s="50">
        <f t="array" ref="O16">_xlfn.IFS(OR(O$5="土",O$5="日",IFERROR(VLOOKUP(O$4,'data base'!$D$2:$F$30,3,FALSE),"")="休"),"休",O17="有休","欠",O$5="","",TRUE,"出")</f>
        <v/>
      </c>
      <c r="P16" s="50">
        <f t="array" ref="P16">_xlfn.IFS(OR(P$5="土",P$5="日",IFERROR(VLOOKUP(P$4,'data base'!$D$2:$F$30,3,FALSE),"")="休"),"休",P17="有休","欠",P$5="","",TRUE,"出")</f>
        <v/>
      </c>
      <c r="Q16" s="50">
        <f t="array" ref="Q16">_xlfn.IFS(OR(Q$5="土",Q$5="日",IFERROR(VLOOKUP(Q$4,'data base'!$D$2:$F$30,3,FALSE),"")="休"),"休",Q17="有休","欠",Q$5="","",TRUE,"出")</f>
        <v/>
      </c>
      <c r="R16" s="50">
        <f t="array" ref="R16">_xlfn.IFS(OR(R$5="土",R$5="日",IFERROR(VLOOKUP(R$4,'data base'!$D$2:$F$30,3,FALSE),"")="休"),"休",R17="有休","欠",R$5="","",TRUE,"出")</f>
        <v/>
      </c>
      <c r="S16" s="50">
        <f t="array" ref="S16">_xlfn.IFS(OR(S$5="土",S$5="日",IFERROR(VLOOKUP(S$4,'data base'!$D$2:$F$30,3,FALSE),"")="休"),"休",S17="有休","欠",S$5="","",TRUE,"出")</f>
        <v/>
      </c>
      <c r="T16" s="50">
        <f t="array" ref="T16">_xlfn.IFS(OR(T$5="土",T$5="日",IFERROR(VLOOKUP(T$4,'data base'!$D$2:$F$30,3,FALSE),"")="休"),"休",T17="有休","欠",T$5="","",TRUE,"出")</f>
        <v/>
      </c>
      <c r="U16" s="50">
        <f t="array" ref="U16">_xlfn.IFS(OR(U$5="土",U$5="日",IFERROR(VLOOKUP(U$4,'data base'!$D$2:$F$30,3,FALSE),"")="休"),"休",U17="有休","欠",U$5="","",TRUE,"出")</f>
        <v/>
      </c>
      <c r="V16" s="50">
        <f t="array" ref="V16">_xlfn.IFS(OR(V$5="土",V$5="日",IFERROR(VLOOKUP(V$4,'data base'!$D$2:$F$30,3,FALSE),"")="休"),"休",V17="有休","欠",V$5="","",TRUE,"出")</f>
        <v/>
      </c>
      <c r="W16" s="50">
        <f t="array" ref="W16">_xlfn.IFS(OR(W$5="土",W$5="日",IFERROR(VLOOKUP(W$4,'data base'!$D$2:$F$30,3,FALSE),"")="休"),"休",W17="有休","欠",W$5="","",TRUE,"出")</f>
        <v/>
      </c>
      <c r="X16" s="50">
        <f t="array" ref="X16">_xlfn.IFS(OR(X$5="土",X$5="日",IFERROR(VLOOKUP(X$4,'data base'!$D$2:$F$30,3,FALSE),"")="休"),"休",X17="有休","欠",X$5="","",TRUE,"出")</f>
        <v/>
      </c>
      <c r="Y16" s="50">
        <f t="array" ref="Y16">_xlfn.IFS(OR(Y$5="土",Y$5="日",IFERROR(VLOOKUP(Y$4,'data base'!$D$2:$F$30,3,FALSE),"")="休"),"休",Y17="有休","欠",Y$5="","",TRUE,"出")</f>
        <v/>
      </c>
      <c r="Z16" s="50">
        <f t="array" ref="Z16">_xlfn.IFS(OR(Z$5="土",Z$5="日",IFERROR(VLOOKUP(Z$4,'data base'!$D$2:$F$30,3,FALSE),"")="休"),"休",Z17="有休","欠",Z$5="","",TRUE,"出")</f>
        <v/>
      </c>
      <c r="AA16" s="50">
        <f t="array" ref="AA16">_xlfn.IFS(OR(AA$5="土",AA$5="日",IFERROR(VLOOKUP(AA$4,'data base'!$D$2:$F$30,3,FALSE),"")="休"),"休",AA17="有休","欠",AA$5="","",TRUE,"出")</f>
        <v/>
      </c>
      <c r="AB16" s="50">
        <f t="array" ref="AB16">_xlfn.IFS(OR(AB$5="土",AB$5="日",IFERROR(VLOOKUP(AB$4,'data base'!$D$2:$F$30,3,FALSE),"")="休"),"休",AB17="有休","欠",AB$5="","",TRUE,"出")</f>
        <v/>
      </c>
      <c r="AC16" s="50">
        <f t="array" ref="AC16">_xlfn.IFS(OR(AC$5="土",AC$5="日",IFERROR(VLOOKUP(AC$4,'data base'!$D$2:$F$30,3,FALSE),"")="休"),"休",AC17="有休","欠",AC$5="","",TRUE,"出")</f>
        <v/>
      </c>
      <c r="AD16" s="50">
        <f t="array" ref="AD16">_xlfn.IFS(OR(AD$5="土",AD$5="日",IFERROR(VLOOKUP(AD$4,'data base'!$D$2:$F$30,3,FALSE),"")="休"),"休",AD17="有休","欠",AD$5="","",TRUE,"出")</f>
        <v/>
      </c>
      <c r="AE16" s="50">
        <f t="array" ref="AE16">_xlfn.IFS(OR(AE$5="土",AE$5="日",IFERROR(VLOOKUP(AE$4,'data base'!$D$2:$F$30,3,FALSE),"")="休"),"休",AE17="有休","欠",AE$5="","",TRUE,"出")</f>
        <v/>
      </c>
      <c r="AF16" s="50">
        <f t="array" ref="AF16">_xlfn.IFS(OR(AF$5="土",AF$5="日",IFERROR(VLOOKUP(AF$4,'data base'!$D$2:$F$30,3,FALSE),"")="休"),"休",AF17="有休","欠",AF$5="","",TRUE,"出")</f>
        <v/>
      </c>
      <c r="AG16" s="50">
        <f t="array" ref="AG16">_xlfn.IFS(OR(AG$5="土",AG$5="日",IFERROR(VLOOKUP(AG$4,'data base'!$D$2:$F$30,3,FALSE),"")="休"),"休",AG17="有休","欠",AG$5="","",TRUE,"出")</f>
        <v/>
      </c>
      <c r="AH16" s="28">
        <f>COUNTIF(C16:AG16,"出")</f>
        <v/>
      </c>
      <c r="AI16" s="58">
        <f>COUNTIF(B16:AF16,"欠")</f>
        <v/>
      </c>
      <c r="AJ16" s="29" t="n"/>
    </row>
    <row r="17" ht="18" customHeight="1" s="79">
      <c r="A17" s="25" t="inlineStr">
        <is>
          <t>良智</t>
        </is>
      </c>
      <c r="B17" s="30" t="n"/>
      <c r="C17" s="52" t="n"/>
      <c r="D17" s="52" t="n"/>
      <c r="E17" s="52" t="n"/>
      <c r="F17" s="52" t="n"/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72" t="n"/>
      <c r="V17" s="52" t="n"/>
      <c r="W17" s="52" t="n"/>
      <c r="X17" s="52" t="n"/>
      <c r="Y17" s="52" t="n"/>
      <c r="Z17" s="52" t="n"/>
      <c r="AA17" s="52" t="n"/>
      <c r="AB17" s="52" t="n"/>
      <c r="AC17" s="52" t="n"/>
      <c r="AD17" s="52" t="n"/>
      <c r="AE17" s="52" t="n"/>
      <c r="AF17" s="52" t="n"/>
      <c r="AG17" s="52" t="n"/>
      <c r="AH17" s="28" t="n"/>
      <c r="AI17" s="58" t="n"/>
      <c r="AJ17" s="29" t="n"/>
    </row>
    <row r="18" ht="18" customHeight="1" s="79">
      <c r="A18" s="23" t="inlineStr">
        <is>
          <t>天野</t>
        </is>
      </c>
      <c r="B18" s="27" t="inlineStr">
        <is>
          <t>出/休</t>
        </is>
      </c>
      <c r="C18" s="50">
        <f t="array" ref="C18">_xlfn.IFS(OR(C$5="土",C$5="日",IFERROR(VLOOKUP(C$4,'data base'!$D$2:$F$30,3,FALSE),"")="休"),"休",C19="有休","欠",C$5="","",TRUE,"出")</f>
        <v/>
      </c>
      <c r="D18" s="50">
        <f t="array" ref="D18">_xlfn.IFS(OR(D$5="土",D$5="日",IFERROR(VLOOKUP(D$4,'data base'!$D$2:$F$30,3,FALSE),"")="休"),"休",D19="有休","欠",D$5="","",TRUE,"出")</f>
        <v/>
      </c>
      <c r="E18" s="50">
        <f t="array" ref="E18">_xlfn.IFS(OR(E$5="土",E$5="日",IFERROR(VLOOKUP(E$4,'data base'!$D$2:$F$30,3,FALSE),"")="休"),"休",E19="有休","欠",E$5="","",TRUE,"出")</f>
        <v/>
      </c>
      <c r="F18" s="50">
        <f t="array" ref="F18">_xlfn.IFS(OR(F$5="土",F$5="日",IFERROR(VLOOKUP(F$4,'data base'!$D$2:$F$30,3,FALSE),"")="休"),"休",F19="有休","欠",F$5="","",TRUE,"出")</f>
        <v/>
      </c>
      <c r="G18" s="50">
        <f t="array" ref="G18">_xlfn.IFS(OR(G$5="土",G$5="日",IFERROR(VLOOKUP(G$4,'data base'!$D$2:$F$30,3,FALSE),"")="休"),"休",G19="有休","欠",G$5="","",TRUE,"出")</f>
        <v/>
      </c>
      <c r="H18" s="50">
        <f t="array" ref="H18">_xlfn.IFS(OR(H$5="土",H$5="日",IFERROR(VLOOKUP(H$4,'data base'!$D$2:$F$30,3,FALSE),"")="休"),"休",H19="有休","欠",H$5="","",TRUE,"出")</f>
        <v/>
      </c>
      <c r="I18" s="50">
        <f t="array" ref="I18">_xlfn.IFS(OR(I$5="土",I$5="日",IFERROR(VLOOKUP(I$4,'data base'!$D$2:$F$30,3,FALSE),"")="休"),"休",I19="有休","欠",I$5="","",TRUE,"出")</f>
        <v/>
      </c>
      <c r="J18" s="50">
        <f t="array" ref="J18">_xlfn.IFS(OR(J$5="土",J$5="日",IFERROR(VLOOKUP(J$4,'data base'!$D$2:$F$30,3,FALSE),"")="休"),"休",J19="有休","欠",J$5="","",TRUE,"出")</f>
        <v/>
      </c>
      <c r="K18" s="50">
        <f t="array" ref="K18">_xlfn.IFS(OR(K$5="土",K$5="日",IFERROR(VLOOKUP(K$4,'data base'!$D$2:$F$30,3,FALSE),"")="休"),"休",K19="有休","欠",K$5="","",TRUE,"出")</f>
        <v/>
      </c>
      <c r="L18" s="50">
        <f t="array" ref="L18">_xlfn.IFS(OR(L$5="土",L$5="日",IFERROR(VLOOKUP(L$4,'data base'!$D$2:$F$30,3,FALSE),"")="休"),"休",L19="有休","欠",L$5="","",TRUE,"出")</f>
        <v/>
      </c>
      <c r="M18" s="50" t="n"/>
      <c r="N18" s="50">
        <f t="array" ref="N18">_xlfn.IFS(OR(N$5="土",N$5="日",IFERROR(VLOOKUP(N$4,'data base'!$D$2:$F$30,3,FALSE),"")="休"),"休",N19="有休","欠",N$5="","",TRUE,"出")</f>
        <v/>
      </c>
      <c r="O18" s="50">
        <f t="array" ref="O18">_xlfn.IFS(OR(O$5="土",O$5="日",IFERROR(VLOOKUP(O$4,'data base'!$D$2:$F$30,3,FALSE),"")="休"),"休",O19="有休","欠",O$5="","",TRUE,"出")</f>
        <v/>
      </c>
      <c r="P18" s="50">
        <f t="array" ref="P18">_xlfn.IFS(OR(P$5="土",P$5="日",IFERROR(VLOOKUP(P$4,'data base'!$D$2:$F$30,3,FALSE),"")="休"),"休",P19="有休","欠",P$5="","",TRUE,"出")</f>
        <v/>
      </c>
      <c r="Q18" s="50">
        <f t="array" ref="Q18">_xlfn.IFS(OR(Q$5="土",Q$5="日",IFERROR(VLOOKUP(Q$4,'data base'!$D$2:$F$30,3,FALSE),"")="休"),"休",Q19="有休","欠",Q$5="","",TRUE,"出")</f>
        <v/>
      </c>
      <c r="R18" s="50">
        <f t="array" ref="R18">_xlfn.IFS(OR(R$5="土",R$5="日",IFERROR(VLOOKUP(R$4,'data base'!$D$2:$F$30,3,FALSE),"")="休"),"休",R19="有休","欠",R$5="","",TRUE,"出")</f>
        <v/>
      </c>
      <c r="S18" s="50">
        <f t="array" ref="S18">_xlfn.IFS(OR(S$5="土",S$5="日",IFERROR(VLOOKUP(S$4,'data base'!$D$2:$F$30,3,FALSE),"")="休"),"休",S19="有休","欠",S$5="","",TRUE,"出")</f>
        <v/>
      </c>
      <c r="T18" s="50">
        <f t="array" ref="T18">_xlfn.IFS(OR(T$5="土",T$5="日",IFERROR(VLOOKUP(T$4,'data base'!$D$2:$F$30,3,FALSE),"")="休"),"休",T19="有休","欠",T$5="","",TRUE,"出")</f>
        <v/>
      </c>
      <c r="U18" s="50">
        <f t="array" ref="U18">_xlfn.IFS(OR(U$5="土",U$5="日",IFERROR(VLOOKUP(U$4,'data base'!$D$2:$F$30,3,FALSE),"")="休"),"休",U19="有休","欠",U$5="","",TRUE,"出")</f>
        <v/>
      </c>
      <c r="V18" s="50">
        <f t="array" ref="V18">_xlfn.IFS(OR(V$5="土",V$5="日",IFERROR(VLOOKUP(V$4,'data base'!$D$2:$F$30,3,FALSE),"")="休"),"休",V19="有休","欠",V$5="","",TRUE,"出")</f>
        <v/>
      </c>
      <c r="W18" s="50">
        <f t="array" ref="W18">_xlfn.IFS(OR(W$5="土",W$5="日",IFERROR(VLOOKUP(W$4,'data base'!$D$2:$F$30,3,FALSE),"")="休"),"休",W19="有休","欠",W$5="","",TRUE,"出")</f>
        <v/>
      </c>
      <c r="X18" s="50">
        <f t="array" ref="X18">_xlfn.IFS(OR(X$5="土",X$5="日",IFERROR(VLOOKUP(X$4,'data base'!$D$2:$F$30,3,FALSE),"")="休"),"休",X19="有休","欠",X$5="","",TRUE,"出")</f>
        <v/>
      </c>
      <c r="Y18" s="50">
        <f t="array" ref="Y18">_xlfn.IFS(OR(Y$5="土",Y$5="日",IFERROR(VLOOKUP(Y$4,'data base'!$D$2:$F$30,3,FALSE),"")="休"),"休",Y19="有休","欠",Y$5="","",TRUE,"出")</f>
        <v/>
      </c>
      <c r="Z18" s="50">
        <f t="array" ref="Z18">_xlfn.IFS(OR(Z$5="土",Z$5="日",IFERROR(VLOOKUP(Z$4,'data base'!$D$2:$F$30,3,FALSE),"")="休"),"休",Z19="有休","欠",Z$5="","",TRUE,"出")</f>
        <v/>
      </c>
      <c r="AA18" s="50">
        <f t="array" ref="AA18">_xlfn.IFS(OR(AA$5="土",AA$5="日",IFERROR(VLOOKUP(AA$4,'data base'!$D$2:$F$30,3,FALSE),"")="休"),"休",AA19="有休","欠",AA$5="","",TRUE,"出")</f>
        <v/>
      </c>
      <c r="AB18" s="50">
        <f t="array" ref="AB18">_xlfn.IFS(OR(AB$5="土",AB$5="日",IFERROR(VLOOKUP(AB$4,'data base'!$D$2:$F$30,3,FALSE),"")="休"),"休",AB19="有休","欠",AB$5="","",TRUE,"出")</f>
        <v/>
      </c>
      <c r="AC18" s="50">
        <f t="array" ref="AC18">_xlfn.IFS(OR(AC$5="土",AC$5="日",IFERROR(VLOOKUP(AC$4,'data base'!$D$2:$F$30,3,FALSE),"")="休"),"休",AC19="有休","欠",AC$5="","",TRUE,"出")</f>
        <v/>
      </c>
      <c r="AD18" s="50">
        <f t="array" ref="AD18">_xlfn.IFS(OR(AD$5="土",AD$5="日",IFERROR(VLOOKUP(AD$4,'data base'!$D$2:$F$30,3,FALSE),"")="休"),"休",AD19="有休","欠",AD$5="","",TRUE,"出")</f>
        <v/>
      </c>
      <c r="AE18" s="50">
        <f t="array" ref="AE18">_xlfn.IFS(OR(AE$5="土",AE$5="日",IFERROR(VLOOKUP(AE$4,'data base'!$D$2:$F$30,3,FALSE),"")="休"),"休",AE19="有休","欠",AE$5="","",TRUE,"出")</f>
        <v/>
      </c>
      <c r="AF18" s="50">
        <f t="array" ref="AF18">_xlfn.IFS(OR(AF$5="土",AF$5="日",IFERROR(VLOOKUP(AF$4,'data base'!$D$2:$F$30,3,FALSE),"")="休"),"休",AF19="有休","欠",AF$5="","",TRUE,"出")</f>
        <v/>
      </c>
      <c r="AG18" s="50">
        <f t="array" ref="AG18">_xlfn.IFS(OR(AG$5="土",AG$5="日",IFERROR(VLOOKUP(AG$4,'data base'!$D$2:$F$30,3,FALSE),"")="休"),"休",AG19="有休","欠",AG$5="","",TRUE,"出")</f>
        <v/>
      </c>
      <c r="AH18" s="28">
        <f>COUNTIF(C18:AG18,"出")</f>
        <v/>
      </c>
      <c r="AI18" s="58">
        <f>COUNTIF(B18:AF18,"欠")</f>
        <v/>
      </c>
      <c r="AJ18" s="29" t="n"/>
    </row>
    <row r="19" ht="18" customHeight="1" s="79">
      <c r="A19" s="25" t="inlineStr">
        <is>
          <t>輝</t>
        </is>
      </c>
      <c r="B19" s="30" t="n"/>
      <c r="C19" s="52" t="n"/>
      <c r="D19" s="52" t="n"/>
      <c r="E19" s="52" t="n"/>
      <c r="F19" s="52" t="n"/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  <c r="V19" s="52" t="n"/>
      <c r="W19" s="52" t="n"/>
      <c r="X19" s="52" t="n"/>
      <c r="Y19" s="52" t="n"/>
      <c r="Z19" s="52" t="n"/>
      <c r="AA19" s="52" t="n"/>
      <c r="AB19" s="52" t="n"/>
      <c r="AC19" s="72" t="n"/>
      <c r="AD19" s="52" t="n"/>
      <c r="AE19" s="52" t="n"/>
      <c r="AF19" s="52" t="n"/>
      <c r="AG19" s="52" t="n"/>
      <c r="AH19" s="28" t="n"/>
      <c r="AI19" s="58" t="n"/>
      <c r="AJ19" s="29" t="n"/>
    </row>
    <row r="20" ht="18" customHeight="1" s="79">
      <c r="A20" s="23" t="inlineStr">
        <is>
          <t>人見</t>
        </is>
      </c>
      <c r="B20" s="27" t="inlineStr">
        <is>
          <t>出/休</t>
        </is>
      </c>
      <c r="C20" s="50">
        <f t="array" ref="C20">_xlfn.IFS(OR(C$5="土",C$5="日",IFERROR(VLOOKUP(C$4,'data base'!$D$2:$F$30,3,FALSE),"")="休"),"休",C21="有休","欠",C$5="","",TRUE,"出")</f>
        <v/>
      </c>
      <c r="D20" s="50">
        <f t="array" ref="D20">_xlfn.IFS(OR(D$5="土",D$5="日",IFERROR(VLOOKUP(D$4,'data base'!$D$2:$F$30,3,FALSE),"")="休"),"休",D21="有休","欠",D$5="","",TRUE,"出")</f>
        <v/>
      </c>
      <c r="E20" s="50">
        <f t="array" ref="E20">_xlfn.IFS(OR(E$5="土",E$5="日",IFERROR(VLOOKUP(E$4,'data base'!$D$2:$F$30,3,FALSE),"")="休"),"休",E21="有休","欠",E$5="","",TRUE,"出")</f>
        <v/>
      </c>
      <c r="F20" s="50">
        <f t="array" ref="F20">_xlfn.IFS(OR(F$5="土",F$5="日",IFERROR(VLOOKUP(F$4,'data base'!$D$2:$F$30,3,FALSE),"")="休"),"休",F21="有休","欠",F$5="","",TRUE,"出")</f>
        <v/>
      </c>
      <c r="G20" s="50">
        <f t="array" ref="G20">_xlfn.IFS(OR(G$5="土",G$5="日",IFERROR(VLOOKUP(G$4,'data base'!$D$2:$F$30,3,FALSE),"")="休"),"休",G21="有休","欠",G$5="","",TRUE,"出")</f>
        <v/>
      </c>
      <c r="H20" s="50">
        <f t="array" ref="H20">_xlfn.IFS(OR(H$5="土",H$5="日",IFERROR(VLOOKUP(H$4,'data base'!$D$2:$F$30,3,FALSE),"")="休"),"休",H21="有休","欠",H$5="","",TRUE,"出")</f>
        <v/>
      </c>
      <c r="I20" s="50">
        <f t="array" ref="I20">_xlfn.IFS(OR(I$5="土",I$5="日",IFERROR(VLOOKUP(I$4,'data base'!$D$2:$F$30,3,FALSE),"")="休"),"休",I21="有休","欠",I$5="","",TRUE,"出")</f>
        <v/>
      </c>
      <c r="J20" s="50">
        <f t="array" ref="J20">_xlfn.IFS(OR(J$5="土",J$5="日",IFERROR(VLOOKUP(J$4,'data base'!$D$2:$F$30,3,FALSE),"")="休"),"休",J21="有休","欠",J$5="","",TRUE,"出")</f>
        <v/>
      </c>
      <c r="K20" s="50">
        <f t="array" ref="K20">_xlfn.IFS(OR(K$5="土",K$5="日",IFERROR(VLOOKUP(K$4,'data base'!$D$2:$F$30,3,FALSE),"")="休"),"休",K21="有休","欠",K$5="","",TRUE,"出")</f>
        <v/>
      </c>
      <c r="L20" s="50">
        <f t="array" ref="L20">_xlfn.IFS(OR(L$5="土",L$5="日",IFERROR(VLOOKUP(L$4,'data base'!$D$2:$F$30,3,FALSE),"")="休"),"休",L21="有休","欠",L$5="","",TRUE,"出")</f>
        <v/>
      </c>
      <c r="M20" s="50" t="n"/>
      <c r="N20" s="50">
        <f t="array" ref="N20">_xlfn.IFS(OR(N$5="土",N$5="日",IFERROR(VLOOKUP(N$4,'data base'!$D$2:$F$30,3,FALSE),"")="休"),"休",N21="有休","欠",N$5="","",TRUE,"出")</f>
        <v/>
      </c>
      <c r="O20" s="50">
        <f t="array" ref="O20">_xlfn.IFS(OR(O$5="土",O$5="日",IFERROR(VLOOKUP(O$4,'data base'!$D$2:$F$30,3,FALSE),"")="休"),"休",O21="有休","欠",O$5="","",TRUE,"出")</f>
        <v/>
      </c>
      <c r="P20" s="50">
        <f t="array" ref="P20">_xlfn.IFS(OR(P$5="土",P$5="日",IFERROR(VLOOKUP(P$4,'data base'!$D$2:$F$30,3,FALSE),"")="休"),"休",P21="有休","欠",P$5="","",TRUE,"出")</f>
        <v/>
      </c>
      <c r="Q20" s="50">
        <f t="array" ref="Q20">_xlfn.IFS(OR(Q$5="土",Q$5="日",IFERROR(VLOOKUP(Q$4,'data base'!$D$2:$F$30,3,FALSE),"")="休"),"休",Q21="有休","欠",Q$5="","",TRUE,"出")</f>
        <v/>
      </c>
      <c r="R20" s="50">
        <f t="array" ref="R20">_xlfn.IFS(OR(R$5="土",R$5="日",IFERROR(VLOOKUP(R$4,'data base'!$D$2:$F$30,3,FALSE),"")="休"),"休",R21="有休","欠",R$5="","",TRUE,"出")</f>
        <v/>
      </c>
      <c r="S20" s="50">
        <f t="array" ref="S20">_xlfn.IFS(OR(S$5="土",S$5="日",IFERROR(VLOOKUP(S$4,'data base'!$D$2:$F$30,3,FALSE),"")="休"),"休",S21="有休","欠",S$5="","",TRUE,"出")</f>
        <v/>
      </c>
      <c r="T20" s="50">
        <f t="array" ref="T20">_xlfn.IFS(OR(T$5="土",T$5="日",IFERROR(VLOOKUP(T$4,'data base'!$D$2:$F$30,3,FALSE),"")="休"),"休",T21="有休","欠",T$5="","",TRUE,"出")</f>
        <v/>
      </c>
      <c r="U20" s="50">
        <f t="array" ref="U20">_xlfn.IFS(OR(U$5="土",U$5="日",IFERROR(VLOOKUP(U$4,'data base'!$D$2:$F$30,3,FALSE),"")="休"),"休",U21="有休","欠",U$5="","",TRUE,"出")</f>
        <v/>
      </c>
      <c r="V20" s="50">
        <f t="array" ref="V20">_xlfn.IFS(OR(V$5="土",V$5="日",IFERROR(VLOOKUP(V$4,'data base'!$D$2:$F$30,3,FALSE),"")="休"),"休",V21="有休","欠",V$5="","",TRUE,"出")</f>
        <v/>
      </c>
      <c r="W20" s="50">
        <f t="array" ref="W20">_xlfn.IFS(OR(W$5="土",W$5="日",IFERROR(VLOOKUP(W$4,'data base'!$D$2:$F$30,3,FALSE),"")="休"),"休",W21="有休","欠",W$5="","",TRUE,"出")</f>
        <v/>
      </c>
      <c r="X20" s="50">
        <f t="array" ref="X20">_xlfn.IFS(OR(X$5="土",X$5="日",IFERROR(VLOOKUP(X$4,'data base'!$D$2:$F$30,3,FALSE),"")="休"),"休",X21="有休","欠",X$5="","",TRUE,"出")</f>
        <v/>
      </c>
      <c r="Y20" s="50">
        <f t="array" ref="Y20">_xlfn.IFS(OR(Y$5="土",Y$5="日",IFERROR(VLOOKUP(Y$4,'data base'!$D$2:$F$30,3,FALSE),"")="休"),"休",Y21="有休","欠",Y$5="","",TRUE,"出")</f>
        <v/>
      </c>
      <c r="Z20" s="50">
        <f t="array" ref="Z20">_xlfn.IFS(OR(Z$5="土",Z$5="日",IFERROR(VLOOKUP(Z$4,'data base'!$D$2:$F$30,3,FALSE),"")="休"),"休",Z21="有休","欠",Z$5="","",TRUE,"出")</f>
        <v/>
      </c>
      <c r="AA20" s="50">
        <f t="array" ref="AA20">_xlfn.IFS(OR(AA$5="土",AA$5="日",IFERROR(VLOOKUP(AA$4,'data base'!$D$2:$F$30,3,FALSE),"")="休"),"休",AA21="有休","欠",AA$5="","",TRUE,"出")</f>
        <v/>
      </c>
      <c r="AB20" s="50">
        <f t="array" ref="AB20">_xlfn.IFS(OR(AB$5="土",AB$5="日",IFERROR(VLOOKUP(AB$4,'data base'!$D$2:$F$30,3,FALSE),"")="休"),"休",AB21="有休","欠",AB$5="","",TRUE,"出")</f>
        <v/>
      </c>
      <c r="AC20" s="50">
        <f t="array" ref="AC20">_xlfn.IFS(OR(AC$5="土",AC$5="日",IFERROR(VLOOKUP(AC$4,'data base'!$D$2:$F$30,3,FALSE),"")="休"),"休",AC21="有休","欠",AC$5="","",TRUE,"出")</f>
        <v/>
      </c>
      <c r="AD20" s="50">
        <f t="array" ref="AD20">_xlfn.IFS(OR(AD$5="土",AD$5="日",IFERROR(VLOOKUP(AD$4,'data base'!$D$2:$F$30,3,FALSE),"")="休"),"休",AD21="有休","欠",AD$5="","",TRUE,"出")</f>
        <v/>
      </c>
      <c r="AE20" s="50">
        <f t="array" ref="AE20">_xlfn.IFS(OR(AE$5="土",AE$5="日",IFERROR(VLOOKUP(AE$4,'data base'!$D$2:$F$30,3,FALSE),"")="休"),"休",AE21="有休","欠",AE$5="","",TRUE,"出")</f>
        <v/>
      </c>
      <c r="AF20" s="50">
        <f t="array" ref="AF20">_xlfn.IFS(OR(AF$5="土",AF$5="日",IFERROR(VLOOKUP(AF$4,'data base'!$D$2:$F$30,3,FALSE),"")="休"),"休",AF21="有休","欠",AF$5="","",TRUE,"出")</f>
        <v/>
      </c>
      <c r="AG20" s="50">
        <f t="array" ref="AG20">_xlfn.IFS(OR(AG$5="土",AG$5="日",IFERROR(VLOOKUP(AG$4,'data base'!$D$2:$F$30,3,FALSE),"")="休"),"休",AG21="有休","欠",AG$5="","",TRUE,"出")</f>
        <v/>
      </c>
      <c r="AH20" s="28">
        <f>COUNTIF(C20:AG20,"出")</f>
        <v/>
      </c>
      <c r="AI20" s="58">
        <f>COUNTIF(B20:AF20,"欠")</f>
        <v/>
      </c>
      <c r="AJ20" s="29" t="n"/>
    </row>
    <row r="21" ht="18" customHeight="1" s="79">
      <c r="A21" s="25" t="inlineStr">
        <is>
          <t>研吾</t>
        </is>
      </c>
      <c r="B21" s="30" t="n"/>
      <c r="C21" s="52" t="n"/>
      <c r="D21" s="52" t="n"/>
      <c r="E21" s="72" t="n"/>
      <c r="F21" s="52" t="n"/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72" t="n"/>
      <c r="U21" s="52" t="n"/>
      <c r="V21" s="52" t="n"/>
      <c r="W21" s="52" t="n"/>
      <c r="X21" s="52" t="n"/>
      <c r="Y21" s="52" t="n"/>
      <c r="Z21" s="52" t="n"/>
      <c r="AA21" s="52" t="n"/>
      <c r="AB21" s="52" t="n"/>
      <c r="AC21" s="52" t="n"/>
      <c r="AD21" s="52" t="n"/>
      <c r="AE21" s="52" t="n"/>
      <c r="AF21" s="52" t="n"/>
      <c r="AG21" s="52" t="n"/>
      <c r="AH21" s="28" t="n"/>
      <c r="AI21" s="58" t="n"/>
      <c r="AJ21" s="29" t="n"/>
    </row>
    <row r="22" ht="18" customHeight="1" s="79">
      <c r="A22" s="23" t="inlineStr">
        <is>
          <t>南</t>
        </is>
      </c>
      <c r="B22" s="27" t="inlineStr">
        <is>
          <t>出/休</t>
        </is>
      </c>
      <c r="C22" s="50">
        <f t="array" ref="C22">_xlfn.IFS(OR(C$5="土",C$5="日",IFERROR(VLOOKUP(C$4,'data base'!$D$2:$F$30,3,FALSE),"")="休"),"休",C23="有休","欠",C$5="","",TRUE,"出")</f>
        <v/>
      </c>
      <c r="D22" s="50">
        <f t="array" ref="D22">_xlfn.IFS(OR(D$5="土",D$5="日",IFERROR(VLOOKUP(D$4,'data base'!$D$2:$F$30,3,FALSE),"")="休"),"休",D23="有休","欠",D$5="","",TRUE,"出")</f>
        <v/>
      </c>
      <c r="E22" s="50">
        <f t="array" ref="E22">_xlfn.IFS(OR(E$5="土",E$5="日",IFERROR(VLOOKUP(E$4,'data base'!$D$2:$F$30,3,FALSE),"")="休"),"休",E23="有休","欠",E$5="","",TRUE,"出")</f>
        <v/>
      </c>
      <c r="F22" s="50">
        <f t="array" ref="F22">_xlfn.IFS(OR(F$5="土",F$5="日",IFERROR(VLOOKUP(F$4,'data base'!$D$2:$F$30,3,FALSE),"")="休"),"休",F23="有休","欠",F$5="","",TRUE,"出")</f>
        <v/>
      </c>
      <c r="G22" s="50">
        <f t="array" ref="G22">_xlfn.IFS(OR(G$5="土",G$5="日",IFERROR(VLOOKUP(G$4,'data base'!$D$2:$F$30,3,FALSE),"")="休"),"休",G23="有休","欠",G$5="","",TRUE,"出")</f>
        <v/>
      </c>
      <c r="H22" s="50">
        <f t="array" ref="H22">_xlfn.IFS(OR(H$5="土",H$5="日",IFERROR(VLOOKUP(H$4,'data base'!$D$2:$F$30,3,FALSE),"")="休"),"休",H23="有休","欠",H$5="","",TRUE,"出")</f>
        <v/>
      </c>
      <c r="I22" s="50">
        <f t="array" ref="I22">_xlfn.IFS(OR(I$5="土",I$5="日",IFERROR(VLOOKUP(I$4,'data base'!$D$2:$F$30,3,FALSE),"")="休"),"休",I23="有休","欠",I$5="","",TRUE,"出")</f>
        <v/>
      </c>
      <c r="J22" s="50">
        <f t="array" ref="J22">_xlfn.IFS(OR(J$5="土",J$5="日",IFERROR(VLOOKUP(J$4,'data base'!$D$2:$F$30,3,FALSE),"")="休"),"休",J23="有休","欠",J$5="","",TRUE,"出")</f>
        <v/>
      </c>
      <c r="K22" s="50">
        <f t="array" ref="K22">_xlfn.IFS(OR(K$5="土",K$5="日",IFERROR(VLOOKUP(K$4,'data base'!$D$2:$F$30,3,FALSE),"")="休"),"休",K23="有休","欠",K$5="","",TRUE,"出")</f>
        <v/>
      </c>
      <c r="L22" s="50">
        <f t="array" ref="L22">_xlfn.IFS(OR(L$5="土",L$5="日",IFERROR(VLOOKUP(L$4,'data base'!$D$2:$F$30,3,FALSE),"")="休"),"休",L23="有休","欠",L$5="","",TRUE,"出")</f>
        <v/>
      </c>
      <c r="M22" s="50" t="n"/>
      <c r="N22" s="50">
        <f t="array" ref="N22">_xlfn.IFS(OR(N$5="土",N$5="日",IFERROR(VLOOKUP(N$4,'data base'!$D$2:$F$30,3,FALSE),"")="休"),"休",N23="有休","欠",N$5="","",TRUE,"出")</f>
        <v/>
      </c>
      <c r="O22" s="50">
        <f t="array" ref="O22">_xlfn.IFS(OR(O$5="土",O$5="日",IFERROR(VLOOKUP(O$4,'data base'!$D$2:$F$30,3,FALSE),"")="休"),"休",O23="有休","欠",O$5="","",TRUE,"出")</f>
        <v/>
      </c>
      <c r="P22" s="50">
        <f t="array" ref="P22">_xlfn.IFS(OR(P$5="土",P$5="日",IFERROR(VLOOKUP(P$4,'data base'!$D$2:$F$30,3,FALSE),"")="休"),"休",P23="有休","欠",P$5="","",TRUE,"出")</f>
        <v/>
      </c>
      <c r="Q22" s="50">
        <f t="array" ref="Q22">_xlfn.IFS(OR(Q$5="土",Q$5="日",IFERROR(VLOOKUP(Q$4,'data base'!$D$2:$F$30,3,FALSE),"")="休"),"休",Q23="有休","欠",Q$5="","",TRUE,"出")</f>
        <v/>
      </c>
      <c r="R22" s="50">
        <f t="array" ref="R22">_xlfn.IFS(OR(R$5="土",R$5="日",IFERROR(VLOOKUP(R$4,'data base'!$D$2:$F$30,3,FALSE),"")="休"),"休",R23="有休","欠",R$5="","",TRUE,"出")</f>
        <v/>
      </c>
      <c r="S22" s="50">
        <f t="array" ref="S22">_xlfn.IFS(OR(S$5="土",S$5="日",IFERROR(VLOOKUP(S$4,'data base'!$D$2:$F$30,3,FALSE),"")="休"),"休",S23="有休","欠",S$5="","",TRUE,"出")</f>
        <v/>
      </c>
      <c r="T22" s="50">
        <f t="array" ref="T22">_xlfn.IFS(OR(T$5="土",T$5="日",IFERROR(VLOOKUP(T$4,'data base'!$D$2:$F$30,3,FALSE),"")="休"),"休",T23="有休","欠",T$5="","",TRUE,"出")</f>
        <v/>
      </c>
      <c r="U22" s="50">
        <f t="array" ref="U22">_xlfn.IFS(OR(U$5="土",U$5="日",IFERROR(VLOOKUP(U$4,'data base'!$D$2:$F$30,3,FALSE),"")="休"),"休",U23="有休","欠",U$5="","",TRUE,"出")</f>
        <v/>
      </c>
      <c r="V22" s="50">
        <f t="array" ref="V22">_xlfn.IFS(OR(V$5="土",V$5="日",IFERROR(VLOOKUP(V$4,'data base'!$D$2:$F$30,3,FALSE),"")="休"),"休",V23="有休","欠",V$5="","",TRUE,"出")</f>
        <v/>
      </c>
      <c r="W22" s="50">
        <f t="array" ref="W22">_xlfn.IFS(OR(W$5="土",W$5="日",IFERROR(VLOOKUP(W$4,'data base'!$D$2:$F$30,3,FALSE),"")="休"),"休",W23="有休","欠",W$5="","",TRUE,"出")</f>
        <v/>
      </c>
      <c r="X22" s="50">
        <f t="array" ref="X22">_xlfn.IFS(OR(X$5="土",X$5="日",IFERROR(VLOOKUP(X$4,'data base'!$D$2:$F$30,3,FALSE),"")="休"),"休",X23="有休","欠",X$5="","",TRUE,"出")</f>
        <v/>
      </c>
      <c r="Y22" s="50">
        <f t="array" ref="Y22">_xlfn.IFS(OR(Y$5="土",Y$5="日",IFERROR(VLOOKUP(Y$4,'data base'!$D$2:$F$30,3,FALSE),"")="休"),"休",Y23="有休","欠",Y$5="","",TRUE,"出")</f>
        <v/>
      </c>
      <c r="Z22" s="50">
        <f t="array" ref="Z22">_xlfn.IFS(OR(Z$5="土",Z$5="日",IFERROR(VLOOKUP(Z$4,'data base'!$D$2:$F$30,3,FALSE),"")="休"),"休",Z23="有休","欠",Z$5="","",TRUE,"出")</f>
        <v/>
      </c>
      <c r="AA22" s="50">
        <f t="array" ref="AA22">_xlfn.IFS(OR(AA$5="土",AA$5="日",IFERROR(VLOOKUP(AA$4,'data base'!$D$2:$F$30,3,FALSE),"")="休"),"休",AA23="有休","欠",AA$5="","",TRUE,"出")</f>
        <v/>
      </c>
      <c r="AB22" s="50">
        <f t="array" ref="AB22">_xlfn.IFS(OR(AB$5="土",AB$5="日",IFERROR(VLOOKUP(AB$4,'data base'!$D$2:$F$30,3,FALSE),"")="休"),"休",AB23="有休","欠",AB$5="","",TRUE,"出")</f>
        <v/>
      </c>
      <c r="AC22" s="50">
        <f t="array" ref="AC22">_xlfn.IFS(OR(AC$5="土",AC$5="日",IFERROR(VLOOKUP(AC$4,'data base'!$D$2:$F$30,3,FALSE),"")="休"),"休",AC23="有休","欠",AC$5="","",TRUE,"出")</f>
        <v/>
      </c>
      <c r="AD22" s="50">
        <f t="array" ref="AD22">_xlfn.IFS(OR(AD$5="土",AD$5="日",IFERROR(VLOOKUP(AD$4,'data base'!$D$2:$F$30,3,FALSE),"")="休"),"休",AD23="有休","欠",AD$5="","",TRUE,"出")</f>
        <v/>
      </c>
      <c r="AE22" s="50">
        <f t="array" ref="AE22">_xlfn.IFS(OR(AE$5="土",AE$5="日",IFERROR(VLOOKUP(AE$4,'data base'!$D$2:$F$30,3,FALSE),"")="休"),"休",AE23="有休","欠",AE$5="","",TRUE,"出")</f>
        <v/>
      </c>
      <c r="AF22" s="50">
        <f t="array" ref="AF22">_xlfn.IFS(OR(AF$5="土",AF$5="日",IFERROR(VLOOKUP(AF$4,'data base'!$D$2:$F$30,3,FALSE),"")="休"),"休",AF23="有休","欠",AF$5="","",TRUE,"出")</f>
        <v/>
      </c>
      <c r="AG22" s="50">
        <f t="array" ref="AG22">_xlfn.IFS(OR(AG$5="土",AG$5="日",IFERROR(VLOOKUP(AG$4,'data base'!$D$2:$F$30,3,FALSE),"")="休"),"休",AG23="有休","欠",AG$5="","",TRUE,"出")</f>
        <v/>
      </c>
      <c r="AH22" s="28">
        <f>COUNTIF(C22:AG22,"出")</f>
        <v/>
      </c>
      <c r="AI22" s="58">
        <f>COUNTIF(B22:AF22,"欠")</f>
        <v/>
      </c>
      <c r="AJ22" s="29" t="n"/>
    </row>
    <row r="23" ht="18" customHeight="1" s="79">
      <c r="A23" s="25" t="inlineStr">
        <is>
          <t>裕貴</t>
        </is>
      </c>
      <c r="B23" s="54" t="n"/>
      <c r="C23" s="52" t="n"/>
      <c r="D23" s="52" t="n"/>
      <c r="E23" s="52" t="n"/>
      <c r="F23" s="52" t="n"/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  <c r="V23" s="52" t="n"/>
      <c r="W23" s="52" t="n"/>
      <c r="X23" s="52" t="n"/>
      <c r="Y23" s="52" t="n"/>
      <c r="Z23" s="52" t="n"/>
      <c r="AA23" s="52" t="n"/>
      <c r="AB23" s="52" t="n"/>
      <c r="AC23" s="52" t="n"/>
      <c r="AD23" s="52" t="n"/>
      <c r="AE23" s="52" t="n"/>
      <c r="AF23" s="52" t="n"/>
      <c r="AG23" s="52" t="n"/>
      <c r="AH23" s="28" t="n"/>
      <c r="AI23" s="58" t="n"/>
      <c r="AJ23" s="29" t="n"/>
    </row>
    <row r="24" ht="18" customHeight="1" s="79">
      <c r="A24" s="34" t="inlineStr">
        <is>
          <t>グエンティエン</t>
        </is>
      </c>
      <c r="B24" s="27" t="inlineStr">
        <is>
          <t>出/休</t>
        </is>
      </c>
      <c r="C24" s="50">
        <f t="array" ref="C24">_xlfn.IFS(OR(C$5="土",C$5="日",IFERROR(VLOOKUP(C$4,'data base'!$D$2:$F$30,3,FALSE),"")="休"),"休",C25="有休","欠",C$5="","",TRUE,"出")</f>
        <v/>
      </c>
      <c r="D24" s="50">
        <f t="array" ref="D24">_xlfn.IFS(OR(D$5="土",D$5="日",IFERROR(VLOOKUP(D$4,'data base'!$D$2:$F$30,3,FALSE),"")="休"),"休",D25="有休","欠",D$5="","",TRUE,"出")</f>
        <v/>
      </c>
      <c r="E24" s="50">
        <f t="array" ref="E24">_xlfn.IFS(OR(E$5="土",E$5="日",IFERROR(VLOOKUP(E$4,'data base'!$D$2:$F$30,3,FALSE),"")="休"),"休",E25="有休","欠",E$5="","",TRUE,"出")</f>
        <v/>
      </c>
      <c r="F24" s="50">
        <f t="array" ref="F24">_xlfn.IFS(OR(F$5="土",F$5="日",IFERROR(VLOOKUP(F$4,'data base'!$D$2:$F$30,3,FALSE),"")="休"),"休",F25="有休","欠",F$5="","",TRUE,"出")</f>
        <v/>
      </c>
      <c r="G24" s="50">
        <f t="array" ref="G24">_xlfn.IFS(OR(G$5="土",G$5="日",IFERROR(VLOOKUP(G$4,'data base'!$D$2:$F$30,3,FALSE),"")="休"),"休",G25="有休","欠",G$5="","",TRUE,"出")</f>
        <v/>
      </c>
      <c r="H24" s="50">
        <f t="array" ref="H24">_xlfn.IFS(OR(H$5="土",H$5="日",IFERROR(VLOOKUP(H$4,'data base'!$D$2:$F$30,3,FALSE),"")="休"),"休",H25="有休","欠",H$5="","",TRUE,"出")</f>
        <v/>
      </c>
      <c r="I24" s="50">
        <f t="array" ref="I24">_xlfn.IFS(OR(I$5="土",I$5="日",IFERROR(VLOOKUP(I$4,'data base'!$D$2:$F$30,3,FALSE),"")="休"),"休",I25="有休","欠",I$5="","",TRUE,"出")</f>
        <v/>
      </c>
      <c r="J24" s="50">
        <f t="array" ref="J24">_xlfn.IFS(OR(J$5="土",J$5="日",IFERROR(VLOOKUP(J$4,'data base'!$D$2:$F$30,3,FALSE),"")="休"),"休",J25="有休","欠",J$5="","",TRUE,"出")</f>
        <v/>
      </c>
      <c r="K24" s="50">
        <f t="array" ref="K24">_xlfn.IFS(OR(K$5="土",K$5="日",IFERROR(VLOOKUP(K$4,'data base'!$D$2:$F$30,3,FALSE),"")="休"),"休",K25="有休","欠",K$5="","",TRUE,"出")</f>
        <v/>
      </c>
      <c r="L24" s="50">
        <f t="array" ref="L24">_xlfn.IFS(OR(L$5="土",L$5="日",IFERROR(VLOOKUP(L$4,'data base'!$D$2:$F$30,3,FALSE),"")="休"),"休",L25="有休","欠",L$5="","",TRUE,"出")</f>
        <v/>
      </c>
      <c r="M24" s="50" t="n"/>
      <c r="N24" s="50">
        <f t="array" ref="N24">_xlfn.IFS(OR(N$5="土",N$5="日",IFERROR(VLOOKUP(N$4,'data base'!$D$2:$F$30,3,FALSE),"")="休"),"休",N25="有休","欠",N$5="","",TRUE,"出")</f>
        <v/>
      </c>
      <c r="O24" s="50">
        <f t="array" ref="O24">_xlfn.IFS(OR(O$5="土",O$5="日",IFERROR(VLOOKUP(O$4,'data base'!$D$2:$F$30,3,FALSE),"")="休"),"休",O25="有休","欠",O$5="","",TRUE,"出")</f>
        <v/>
      </c>
      <c r="P24" s="50">
        <f t="array" ref="P24">_xlfn.IFS(OR(P$5="土",P$5="日",IFERROR(VLOOKUP(P$4,'data base'!$D$2:$F$30,3,FALSE),"")="休"),"休",P25="有休","欠",P$5="","",TRUE,"出")</f>
        <v/>
      </c>
      <c r="Q24" s="50">
        <f t="array" ref="Q24">_xlfn.IFS(OR(Q$5="土",Q$5="日",IFERROR(VLOOKUP(Q$4,'data base'!$D$2:$F$30,3,FALSE),"")="休"),"休",Q25="有休","欠",Q$5="","",TRUE,"出")</f>
        <v/>
      </c>
      <c r="R24" s="50">
        <f t="array" ref="R24">_xlfn.IFS(OR(R$5="土",R$5="日",IFERROR(VLOOKUP(R$4,'data base'!$D$2:$F$30,3,FALSE),"")="休"),"休",R25="有休","欠",R$5="","",TRUE,"出")</f>
        <v/>
      </c>
      <c r="S24" s="50">
        <f t="array" ref="S24">_xlfn.IFS(OR(S$5="土",S$5="日",IFERROR(VLOOKUP(S$4,'data base'!$D$2:$F$30,3,FALSE),"")="休"),"休",S25="有休","欠",S$5="","",TRUE,"出")</f>
        <v/>
      </c>
      <c r="T24" s="50">
        <f t="array" ref="T24">_xlfn.IFS(OR(T$5="土",T$5="日",IFERROR(VLOOKUP(T$4,'data base'!$D$2:$F$30,3,FALSE),"")="休"),"休",T25="有休","欠",T$5="","",TRUE,"出")</f>
        <v/>
      </c>
      <c r="U24" s="50">
        <f t="array" ref="U24">_xlfn.IFS(OR(U$5="土",U$5="日",IFERROR(VLOOKUP(U$4,'data base'!$D$2:$F$30,3,FALSE),"")="休"),"休",U25="有休","欠",U$5="","",TRUE,"出")</f>
        <v/>
      </c>
      <c r="V24" s="50">
        <f t="array" ref="V24">_xlfn.IFS(OR(V$5="土",V$5="日",IFERROR(VLOOKUP(V$4,'data base'!$D$2:$F$30,3,FALSE),"")="休"),"休",V25="有休","欠",V$5="","",TRUE,"出")</f>
        <v/>
      </c>
      <c r="W24" s="50">
        <f t="array" ref="W24">_xlfn.IFS(OR(W$5="土",W$5="日",IFERROR(VLOOKUP(W$4,'data base'!$D$2:$F$30,3,FALSE),"")="休"),"休",W25="有休","欠",W$5="","",TRUE,"出")</f>
        <v/>
      </c>
      <c r="X24" s="50">
        <f t="array" ref="X24">_xlfn.IFS(OR(X$5="土",X$5="日",IFERROR(VLOOKUP(X$4,'data base'!$D$2:$F$30,3,FALSE),"")="休"),"休",X25="有休","欠",X$5="","",TRUE,"出")</f>
        <v/>
      </c>
      <c r="Y24" s="50">
        <f t="array" ref="Y24">_xlfn.IFS(OR(Y$5="土",Y$5="日",IFERROR(VLOOKUP(Y$4,'data base'!$D$2:$F$30,3,FALSE),"")="休"),"休",Y25="有休","欠",Y$5="","",TRUE,"出")</f>
        <v/>
      </c>
      <c r="Z24" s="50">
        <f t="array" ref="Z24">_xlfn.IFS(OR(Z$5="土",Z$5="日",IFERROR(VLOOKUP(Z$4,'data base'!$D$2:$F$30,3,FALSE),"")="休"),"休",Z25="有休","欠",Z$5="","",TRUE,"出")</f>
        <v/>
      </c>
      <c r="AA24" s="50">
        <f t="array" ref="AA24">_xlfn.IFS(OR(AA$5="土",AA$5="日",IFERROR(VLOOKUP(AA$4,'data base'!$D$2:$F$30,3,FALSE),"")="休"),"休",AA25="有休","欠",AA$5="","",TRUE,"出")</f>
        <v/>
      </c>
      <c r="AB24" s="50">
        <f t="array" ref="AB24">_xlfn.IFS(OR(AB$5="土",AB$5="日",IFERROR(VLOOKUP(AB$4,'data base'!$D$2:$F$30,3,FALSE),"")="休"),"休",AB25="有休","欠",AB$5="","",TRUE,"出")</f>
        <v/>
      </c>
      <c r="AC24" s="50">
        <f t="array" ref="AC24">_xlfn.IFS(OR(AC$5="土",AC$5="日",IFERROR(VLOOKUP(AC$4,'data base'!$D$2:$F$30,3,FALSE),"")="休"),"休",AC25="有休","欠",AC$5="","",TRUE,"出")</f>
        <v/>
      </c>
      <c r="AD24" s="50">
        <f t="array" ref="AD24">_xlfn.IFS(OR(AD$5="土",AD$5="日",IFERROR(VLOOKUP(AD$4,'data base'!$D$2:$F$30,3,FALSE),"")="休"),"休",AD25="有休","欠",AD$5="","",TRUE,"出")</f>
        <v/>
      </c>
      <c r="AE24" s="50">
        <f t="array" ref="AE24">_xlfn.IFS(OR(AE$5="土",AE$5="日",IFERROR(VLOOKUP(AE$4,'data base'!$D$2:$F$30,3,FALSE),"")="休"),"休",AE25="有休","欠",AE$5="","",TRUE,"出")</f>
        <v/>
      </c>
      <c r="AF24" s="50">
        <f t="array" ref="AF24">_xlfn.IFS(OR(AF$5="土",AF$5="日",IFERROR(VLOOKUP(AF$4,'data base'!$D$2:$F$30,3,FALSE),"")="休"),"休",AF25="有休","欠",AF$5="","",TRUE,"出")</f>
        <v/>
      </c>
      <c r="AG24" s="50">
        <f t="array" ref="AG24">_xlfn.IFS(OR(AG$5="土",AG$5="日",IFERROR(VLOOKUP(AG$4,'data base'!$D$2:$F$30,3,FALSE),"")="休"),"休",AG25="有休","欠",AG$5="","",TRUE,"出")</f>
        <v/>
      </c>
      <c r="AH24" s="28">
        <f>COUNTIF(C24:AG24,"出")</f>
        <v/>
      </c>
      <c r="AI24" s="58">
        <f>COUNTIF(B24:AF24,"欠")</f>
        <v/>
      </c>
      <c r="AJ24" s="29" t="n"/>
    </row>
    <row r="25" ht="18" customHeight="1" s="79">
      <c r="A25" s="25" t="inlineStr">
        <is>
          <t>フック</t>
        </is>
      </c>
      <c r="B25" s="30" t="n"/>
      <c r="C25" s="52" t="n"/>
      <c r="D25" s="52" t="n"/>
      <c r="E25" s="52" t="n"/>
      <c r="F25" s="52" t="n"/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  <c r="V25" s="52" t="n"/>
      <c r="W25" s="52" t="n"/>
      <c r="X25" s="52" t="n"/>
      <c r="Y25" s="52" t="n"/>
      <c r="Z25" s="52" t="n"/>
      <c r="AA25" s="52" t="n"/>
      <c r="AB25" s="52" t="n"/>
      <c r="AC25" s="52" t="n"/>
      <c r="AD25" s="52" t="n"/>
      <c r="AE25" s="52" t="n"/>
      <c r="AF25" s="52" t="n"/>
      <c r="AG25" s="52" t="n"/>
      <c r="AH25" s="28" t="n"/>
      <c r="AI25" s="58" t="n"/>
      <c r="AJ25" s="29" t="n"/>
    </row>
    <row r="26" ht="18" customHeight="1" s="79">
      <c r="A26" s="23" t="inlineStr">
        <is>
          <t>ファムヴァン</t>
        </is>
      </c>
      <c r="B26" s="27" t="inlineStr">
        <is>
          <t>出/休</t>
        </is>
      </c>
      <c r="C26" s="50">
        <f t="array" ref="C26">_xlfn.IFS(OR(C$5="土",C$5="日",IFERROR(VLOOKUP(C$4,'data base'!$D$2:$F$30,3,FALSE),"")="休"),"休",C27="有休","欠",C$5="","",TRUE,"出")</f>
        <v/>
      </c>
      <c r="D26" s="50">
        <f t="array" ref="D26">_xlfn.IFS(OR(D$5="土",D$5="日",IFERROR(VLOOKUP(D$4,'data base'!$D$2:$F$30,3,FALSE),"")="休"),"休",D27="有休","欠",D$5="","",TRUE,"出")</f>
        <v/>
      </c>
      <c r="E26" s="50">
        <f t="array" ref="E26">_xlfn.IFS(OR(E$5="土",E$5="日",IFERROR(VLOOKUP(E$4,'data base'!$D$2:$F$30,3,FALSE),"")="休"),"休",E27="有休","欠",E$5="","",TRUE,"出")</f>
        <v/>
      </c>
      <c r="F26" s="50">
        <f t="array" ref="F26">_xlfn.IFS(OR(F$5="土",F$5="日",IFERROR(VLOOKUP(F$4,'data base'!$D$2:$F$30,3,FALSE),"")="休"),"休",F27="有休","欠",F$5="","",TRUE,"出")</f>
        <v/>
      </c>
      <c r="G26" s="50">
        <f t="array" ref="G26">_xlfn.IFS(OR(G$5="土",G$5="日",IFERROR(VLOOKUP(G$4,'data base'!$D$2:$F$30,3,FALSE),"")="休"),"休",G27="有休","欠",G$5="","",TRUE,"出")</f>
        <v/>
      </c>
      <c r="H26" s="50">
        <f t="array" ref="H26">_xlfn.IFS(OR(H$5="土",H$5="日",IFERROR(VLOOKUP(H$4,'data base'!$D$2:$F$30,3,FALSE),"")="休"),"休",H27="有休","欠",H$5="","",TRUE,"出")</f>
        <v/>
      </c>
      <c r="I26" s="50">
        <f t="array" ref="I26">_xlfn.IFS(OR(I$5="土",I$5="日",IFERROR(VLOOKUP(I$4,'data base'!$D$2:$F$30,3,FALSE),"")="休"),"休",I27="有休","欠",I$5="","",TRUE,"出")</f>
        <v/>
      </c>
      <c r="J26" s="50">
        <f t="array" ref="J26">_xlfn.IFS(OR(J$5="土",J$5="日",IFERROR(VLOOKUP(J$4,'data base'!$D$2:$F$30,3,FALSE),"")="休"),"休",J27="有休","欠",J$5="","",TRUE,"出")</f>
        <v/>
      </c>
      <c r="K26" s="50">
        <f t="array" ref="K26">_xlfn.IFS(OR(K$5="土",K$5="日",IFERROR(VLOOKUP(K$4,'data base'!$D$2:$F$30,3,FALSE),"")="休"),"休",K27="有休","欠",K$5="","",TRUE,"出")</f>
        <v/>
      </c>
      <c r="L26" s="50">
        <f t="array" ref="L26">_xlfn.IFS(OR(L$5="土",L$5="日",IFERROR(VLOOKUP(L$4,'data base'!$D$2:$F$30,3,FALSE),"")="休"),"休",L27="有休","欠",L$5="","",TRUE,"出")</f>
        <v/>
      </c>
      <c r="M26" s="50" t="n"/>
      <c r="N26" s="50">
        <f t="array" ref="N26">_xlfn.IFS(OR(N$5="土",N$5="日",IFERROR(VLOOKUP(N$4,'data base'!$D$2:$F$30,3,FALSE),"")="休"),"休",N27="有休","欠",N$5="","",TRUE,"出")</f>
        <v/>
      </c>
      <c r="O26" s="50">
        <f t="array" ref="O26">_xlfn.IFS(OR(O$5="土",O$5="日",IFERROR(VLOOKUP(O$4,'data base'!$D$2:$F$30,3,FALSE),"")="休"),"休",O27="有休","欠",O$5="","",TRUE,"出")</f>
        <v/>
      </c>
      <c r="P26" s="50">
        <f t="array" ref="P26">_xlfn.IFS(OR(P$5="土",P$5="日",IFERROR(VLOOKUP(P$4,'data base'!$D$2:$F$30,3,FALSE),"")="休"),"休",P27="有休","欠",P$5="","",TRUE,"出")</f>
        <v/>
      </c>
      <c r="Q26" s="50">
        <f t="array" ref="Q26">_xlfn.IFS(OR(Q$5="土",Q$5="日",IFERROR(VLOOKUP(Q$4,'data base'!$D$2:$F$30,3,FALSE),"")="休"),"休",Q27="有休","欠",Q$5="","",TRUE,"出")</f>
        <v/>
      </c>
      <c r="R26" s="50">
        <f t="array" ref="R26">_xlfn.IFS(OR(R$5="土",R$5="日",IFERROR(VLOOKUP(R$4,'data base'!$D$2:$F$30,3,FALSE),"")="休"),"休",R27="有休","欠",R$5="","",TRUE,"出")</f>
        <v/>
      </c>
      <c r="S26" s="50">
        <f t="array" ref="S26">_xlfn.IFS(OR(S$5="土",S$5="日",IFERROR(VLOOKUP(S$4,'data base'!$D$2:$F$30,3,FALSE),"")="休"),"休",S27="有休","欠",S$5="","",TRUE,"出")</f>
        <v/>
      </c>
      <c r="T26" s="50">
        <f t="array" ref="T26">_xlfn.IFS(OR(T$5="土",T$5="日",IFERROR(VLOOKUP(T$4,'data base'!$D$2:$F$30,3,FALSE),"")="休"),"休",T27="有休","欠",T$5="","",TRUE,"出")</f>
        <v/>
      </c>
      <c r="U26" s="50">
        <f t="array" ref="U26">_xlfn.IFS(OR(U$5="土",U$5="日",IFERROR(VLOOKUP(U$4,'data base'!$D$2:$F$30,3,FALSE),"")="休"),"休",U27="有休","欠",U$5="","",TRUE,"出")</f>
        <v/>
      </c>
      <c r="V26" s="50">
        <f t="array" ref="V26">_xlfn.IFS(OR(V$5="土",V$5="日",IFERROR(VLOOKUP(V$4,'data base'!$D$2:$F$30,3,FALSE),"")="休"),"休",V27="有休","欠",V$5="","",TRUE,"出")</f>
        <v/>
      </c>
      <c r="W26" s="50">
        <f t="array" ref="W26">_xlfn.IFS(OR(W$5="土",W$5="日",IFERROR(VLOOKUP(W$4,'data base'!$D$2:$F$30,3,FALSE),"")="休"),"休",W27="有休","欠",W$5="","",TRUE,"出")</f>
        <v/>
      </c>
      <c r="X26" s="50">
        <f t="array" ref="X26">_xlfn.IFS(OR(X$5="土",X$5="日",IFERROR(VLOOKUP(X$4,'data base'!$D$2:$F$30,3,FALSE),"")="休"),"休",X27="有休","欠",X$5="","",TRUE,"出")</f>
        <v/>
      </c>
      <c r="Y26" s="50">
        <f t="array" ref="Y26">_xlfn.IFS(OR(Y$5="土",Y$5="日",IFERROR(VLOOKUP(Y$4,'data base'!$D$2:$F$30,3,FALSE),"")="休"),"休",Y27="有休","欠",Y$5="","",TRUE,"出")</f>
        <v/>
      </c>
      <c r="Z26" s="50">
        <f t="array" ref="Z26">_xlfn.IFS(OR(Z$5="土",Z$5="日",IFERROR(VLOOKUP(Z$4,'data base'!$D$2:$F$30,3,FALSE),"")="休"),"休",Z27="有休","欠",Z$5="","",TRUE,"出")</f>
        <v/>
      </c>
      <c r="AA26" s="50">
        <f t="array" ref="AA26">_xlfn.IFS(OR(AA$5="土",AA$5="日",IFERROR(VLOOKUP(AA$4,'data base'!$D$2:$F$30,3,FALSE),"")="休"),"休",AA27="有休","欠",AA$5="","",TRUE,"出")</f>
        <v/>
      </c>
      <c r="AB26" s="50">
        <f t="array" ref="AB26">_xlfn.IFS(OR(AB$5="土",AB$5="日",IFERROR(VLOOKUP(AB$4,'data base'!$D$2:$F$30,3,FALSE),"")="休"),"休",AB27="有休","欠",AB$5="","",TRUE,"出")</f>
        <v/>
      </c>
      <c r="AC26" s="50">
        <f t="array" ref="AC26">_xlfn.IFS(OR(AC$5="土",AC$5="日",IFERROR(VLOOKUP(AC$4,'data base'!$D$2:$F$30,3,FALSE),"")="休"),"休",AC27="有休","欠",AC$5="","",TRUE,"出")</f>
        <v/>
      </c>
      <c r="AD26" s="50">
        <f t="array" ref="AD26">_xlfn.IFS(OR(AD$5="土",AD$5="日",IFERROR(VLOOKUP(AD$4,'data base'!$D$2:$F$30,3,FALSE),"")="休"),"休",AD27="有休","欠",AD$5="","",TRUE,"出")</f>
        <v/>
      </c>
      <c r="AE26" s="50">
        <f t="array" ref="AE26">_xlfn.IFS(OR(AE$5="土",AE$5="日",IFERROR(VLOOKUP(AE$4,'data base'!$D$2:$F$30,3,FALSE),"")="休"),"休",AE27="有休","欠",AE$5="","",TRUE,"出")</f>
        <v/>
      </c>
      <c r="AF26" s="50">
        <f t="array" ref="AF26">_xlfn.IFS(OR(AF$5="土",AF$5="日",IFERROR(VLOOKUP(AF$4,'data base'!$D$2:$F$30,3,FALSE),"")="休"),"休",AF27="有休","欠",AF$5="","",TRUE,"出")</f>
        <v/>
      </c>
      <c r="AG26" s="50">
        <f t="array" ref="AG26">_xlfn.IFS(OR(AG$5="土",AG$5="日",IFERROR(VLOOKUP(AG$4,'data base'!$D$2:$F$30,3,FALSE),"")="休"),"休",AG27="有休","欠",AG$5="","",TRUE,"出")</f>
        <v/>
      </c>
      <c r="AH26" s="28">
        <f>COUNTIF(C26:AG26,"出")</f>
        <v/>
      </c>
      <c r="AI26" s="58">
        <f>COUNTIF(B26:AF26,"欠")</f>
        <v/>
      </c>
      <c r="AJ26" s="29" t="n"/>
    </row>
    <row r="27" ht="18" customHeight="1" s="79">
      <c r="A27" s="25" t="inlineStr">
        <is>
          <t>タイ</t>
        </is>
      </c>
      <c r="B27" s="30" t="n"/>
      <c r="C27" s="52" t="n"/>
      <c r="D27" s="52" t="n"/>
      <c r="E27" s="52" t="n"/>
      <c r="F27" s="52" t="n"/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  <c r="V27" s="52" t="n"/>
      <c r="W27" s="52" t="n"/>
      <c r="X27" s="52" t="n"/>
      <c r="Y27" s="52" t="n"/>
      <c r="Z27" s="52" t="n"/>
      <c r="AA27" s="52" t="n"/>
      <c r="AB27" s="52" t="n"/>
      <c r="AC27" s="52" t="n"/>
      <c r="AD27" s="52" t="n"/>
      <c r="AE27" s="52" t="n"/>
      <c r="AF27" s="52" t="n"/>
      <c r="AG27" s="52" t="n"/>
      <c r="AH27" s="28" t="n"/>
      <c r="AI27" s="58" t="n"/>
      <c r="AJ27" s="29" t="n"/>
    </row>
    <row r="28" ht="18" customHeight="1" s="79">
      <c r="A28" s="23" t="inlineStr">
        <is>
          <t>ファムテ</t>
        </is>
      </c>
      <c r="B28" s="27" t="inlineStr">
        <is>
          <t>出/休</t>
        </is>
      </c>
      <c r="C28" s="50">
        <f t="array" ref="C28">_xlfn.IFS(OR(C$5="土",C$5="日",IFERROR(VLOOKUP(C$4,'data base'!$D$2:$F$30,3,FALSE),"")="休"),"休",C29="有休","欠",C$5="","",TRUE,"出")</f>
        <v/>
      </c>
      <c r="D28" s="50">
        <f t="array" ref="D28">_xlfn.IFS(OR(D$5="土",D$5="日",IFERROR(VLOOKUP(D$4,'data base'!$D$2:$F$30,3,FALSE),"")="休"),"休",D29="有休","欠",D$5="","",TRUE,"出")</f>
        <v/>
      </c>
      <c r="E28" s="50">
        <f t="array" ref="E28">_xlfn.IFS(OR(E$5="土",E$5="日",IFERROR(VLOOKUP(E$4,'data base'!$D$2:$F$30,3,FALSE),"")="休"),"休",E29="有休","欠",E$5="","",TRUE,"出")</f>
        <v/>
      </c>
      <c r="F28" s="50">
        <f t="array" ref="F28">_xlfn.IFS(OR(F$5="土",F$5="日",IFERROR(VLOOKUP(F$4,'data base'!$D$2:$F$30,3,FALSE),"")="休"),"休",F29="有休","欠",F$5="","",TRUE,"出")</f>
        <v/>
      </c>
      <c r="G28" s="50">
        <f t="array" ref="G28">_xlfn.IFS(OR(G$5="土",G$5="日",IFERROR(VLOOKUP(G$4,'data base'!$D$2:$F$30,3,FALSE),"")="休"),"休",G29="有休","欠",G$5="","",TRUE,"出")</f>
        <v/>
      </c>
      <c r="H28" s="50">
        <f t="array" ref="H28">_xlfn.IFS(OR(H$5="土",H$5="日",IFERROR(VLOOKUP(H$4,'data base'!$D$2:$F$30,3,FALSE),"")="休"),"休",H29="有休","欠",H$5="","",TRUE,"出")</f>
        <v/>
      </c>
      <c r="I28" s="50">
        <f t="array" ref="I28">_xlfn.IFS(OR(I$5="土",I$5="日",IFERROR(VLOOKUP(I$4,'data base'!$D$2:$F$30,3,FALSE),"")="休"),"休",I29="有休","欠",I$5="","",TRUE,"出")</f>
        <v/>
      </c>
      <c r="J28" s="50">
        <f t="array" ref="J28">_xlfn.IFS(OR(J$5="土",J$5="日",IFERROR(VLOOKUP(J$4,'data base'!$D$2:$F$30,3,FALSE),"")="休"),"休",J29="有休","欠",J$5="","",TRUE,"出")</f>
        <v/>
      </c>
      <c r="K28" s="50">
        <f t="array" ref="K28">_xlfn.IFS(OR(K$5="土",K$5="日",IFERROR(VLOOKUP(K$4,'data base'!$D$2:$F$30,3,FALSE),"")="休"),"休",K29="有休","欠",K$5="","",TRUE,"出")</f>
        <v/>
      </c>
      <c r="L28" s="50">
        <f t="array" ref="L28">_xlfn.IFS(OR(L$5="土",L$5="日",IFERROR(VLOOKUP(L$4,'data base'!$D$2:$F$30,3,FALSE),"")="休"),"休",L29="有休","欠",L$5="","",TRUE,"出")</f>
        <v/>
      </c>
      <c r="M28" s="50" t="n"/>
      <c r="N28" s="50">
        <f t="array" ref="N28">_xlfn.IFS(OR(N$5="土",N$5="日",IFERROR(VLOOKUP(N$4,'data base'!$D$2:$F$30,3,FALSE),"")="休"),"休",N29="有休","欠",N$5="","",TRUE,"出")</f>
        <v/>
      </c>
      <c r="O28" s="50">
        <f t="array" ref="O28">_xlfn.IFS(OR(O$5="土",O$5="日",IFERROR(VLOOKUP(O$4,'data base'!$D$2:$F$30,3,FALSE),"")="休"),"休",O29="有休","欠",O$5="","",TRUE,"出")</f>
        <v/>
      </c>
      <c r="P28" s="50">
        <f t="array" ref="P28">_xlfn.IFS(OR(P$5="土",P$5="日",IFERROR(VLOOKUP(P$4,'data base'!$D$2:$F$30,3,FALSE),"")="休"),"休",P29="有休","欠",P$5="","",TRUE,"出")</f>
        <v/>
      </c>
      <c r="Q28" s="50">
        <f t="array" ref="Q28">_xlfn.IFS(OR(Q$5="土",Q$5="日",IFERROR(VLOOKUP(Q$4,'data base'!$D$2:$F$30,3,FALSE),"")="休"),"休",Q29="有休","欠",Q$5="","",TRUE,"出")</f>
        <v/>
      </c>
      <c r="R28" s="50">
        <f t="array" ref="R28">_xlfn.IFS(OR(R$5="土",R$5="日",IFERROR(VLOOKUP(R$4,'data base'!$D$2:$F$30,3,FALSE),"")="休"),"休",R29="有休","欠",R$5="","",TRUE,"出")</f>
        <v/>
      </c>
      <c r="S28" s="50">
        <f t="array" ref="S28">_xlfn.IFS(OR(S$5="土",S$5="日",IFERROR(VLOOKUP(S$4,'data base'!$D$2:$F$30,3,FALSE),"")="休"),"休",S29="有休","欠",S$5="","",TRUE,"出")</f>
        <v/>
      </c>
      <c r="T28" s="50">
        <f t="array" ref="T28">_xlfn.IFS(OR(T$5="土",T$5="日",IFERROR(VLOOKUP(T$4,'data base'!$D$2:$F$30,3,FALSE),"")="休"),"休",T29="有休","欠",T$5="","",TRUE,"出")</f>
        <v/>
      </c>
      <c r="U28" s="50">
        <f t="array" ref="U28">_xlfn.IFS(OR(U$5="土",U$5="日",IFERROR(VLOOKUP(U$4,'data base'!$D$2:$F$30,3,FALSE),"")="休"),"休",U29="有休","欠",U$5="","",TRUE,"出")</f>
        <v/>
      </c>
      <c r="V28" s="50">
        <f t="array" ref="V28">_xlfn.IFS(OR(V$5="土",V$5="日",IFERROR(VLOOKUP(V$4,'data base'!$D$2:$F$30,3,FALSE),"")="休"),"休",V29="有休","欠",V$5="","",TRUE,"出")</f>
        <v/>
      </c>
      <c r="W28" s="50">
        <f t="array" ref="W28">_xlfn.IFS(OR(W$5="土",W$5="日",IFERROR(VLOOKUP(W$4,'data base'!$D$2:$F$30,3,FALSE),"")="休"),"休",W29="有休","欠",W$5="","",TRUE,"出")</f>
        <v/>
      </c>
      <c r="X28" s="50">
        <f t="array" ref="X28">_xlfn.IFS(OR(X$5="土",X$5="日",IFERROR(VLOOKUP(X$4,'data base'!$D$2:$F$30,3,FALSE),"")="休"),"休",X29="有休","欠",X$5="","",TRUE,"出")</f>
        <v/>
      </c>
      <c r="Y28" s="50">
        <f t="array" ref="Y28">_xlfn.IFS(OR(Y$5="土",Y$5="日",IFERROR(VLOOKUP(Y$4,'data base'!$D$2:$F$30,3,FALSE),"")="休"),"休",Y29="有休","欠",Y$5="","",TRUE,"出")</f>
        <v/>
      </c>
      <c r="Z28" s="50">
        <f t="array" ref="Z28">_xlfn.IFS(OR(Z$5="土",Z$5="日",IFERROR(VLOOKUP(Z$4,'data base'!$D$2:$F$30,3,FALSE),"")="休"),"休",Z29="有休","欠",Z$5="","",TRUE,"出")</f>
        <v/>
      </c>
      <c r="AA28" s="50">
        <f t="array" ref="AA28">_xlfn.IFS(OR(AA$5="土",AA$5="日",IFERROR(VLOOKUP(AA$4,'data base'!$D$2:$F$30,3,FALSE),"")="休"),"休",AA29="有休","欠",AA$5="","",TRUE,"出")</f>
        <v/>
      </c>
      <c r="AB28" s="50">
        <f t="array" ref="AB28">_xlfn.IFS(OR(AB$5="土",AB$5="日",IFERROR(VLOOKUP(AB$4,'data base'!$D$2:$F$30,3,FALSE),"")="休"),"休",AB29="有休","欠",AB$5="","",TRUE,"出")</f>
        <v/>
      </c>
      <c r="AC28" s="50">
        <f t="array" ref="AC28">_xlfn.IFS(OR(AC$5="土",AC$5="日",IFERROR(VLOOKUP(AC$4,'data base'!$D$2:$F$30,3,FALSE),"")="休"),"休",AC29="有休","欠",AC$5="","",TRUE,"出")</f>
        <v/>
      </c>
      <c r="AD28" s="50">
        <f t="array" ref="AD28">_xlfn.IFS(OR(AD$5="土",AD$5="日",IFERROR(VLOOKUP(AD$4,'data base'!$D$2:$F$30,3,FALSE),"")="休"),"休",AD29="有休","欠",AD$5="","",TRUE,"出")</f>
        <v/>
      </c>
      <c r="AE28" s="50">
        <f t="array" ref="AE28">_xlfn.IFS(OR(AE$5="土",AE$5="日",IFERROR(VLOOKUP(AE$4,'data base'!$D$2:$F$30,3,FALSE),"")="休"),"休",AE29="有休","欠",AE$5="","",TRUE,"出")</f>
        <v/>
      </c>
      <c r="AF28" s="50">
        <f t="array" ref="AF28">_xlfn.IFS(OR(AF$5="土",AF$5="日",IFERROR(VLOOKUP(AF$4,'data base'!$D$2:$F$30,3,FALSE),"")="休"),"休",AF29="有休","欠",AF$5="","",TRUE,"出")</f>
        <v/>
      </c>
      <c r="AG28" s="50">
        <f t="array" ref="AG28">_xlfn.IFS(OR(AG$5="土",AG$5="日",IFERROR(VLOOKUP(AG$4,'data base'!$D$2:$F$30,3,FALSE),"")="休"),"休",AG29="有休","欠",AG$5="","",TRUE,"出")</f>
        <v/>
      </c>
      <c r="AH28" s="28">
        <f>COUNTIF(C28:AG28,"出")</f>
        <v/>
      </c>
      <c r="AI28" s="58">
        <f>COUNTIF(B28:AF28,"欠")</f>
        <v/>
      </c>
      <c r="AJ28" s="29" t="n"/>
    </row>
    <row r="29" ht="18" customHeight="1" s="79">
      <c r="A29" s="25" t="inlineStr">
        <is>
          <t>ズイ</t>
        </is>
      </c>
      <c r="B29" s="54" t="n"/>
      <c r="C29" s="52" t="n"/>
      <c r="D29" s="52" t="n"/>
      <c r="E29" s="52" t="n"/>
      <c r="F29" s="52" t="n"/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  <c r="V29" s="72" t="n"/>
      <c r="W29" s="52" t="n"/>
      <c r="X29" s="52" t="n"/>
      <c r="Y29" s="52" t="n"/>
      <c r="Z29" s="52" t="n"/>
      <c r="AA29" s="52" t="n"/>
      <c r="AB29" s="52" t="n"/>
      <c r="AC29" s="52" t="n"/>
      <c r="AD29" s="52" t="n"/>
      <c r="AE29" s="52" t="n"/>
      <c r="AF29" s="52" t="n"/>
      <c r="AG29" s="52" t="n"/>
      <c r="AH29" s="28" t="n"/>
      <c r="AI29" s="58" t="n"/>
      <c r="AJ29" s="29" t="n"/>
    </row>
    <row r="30" ht="18" customHeight="1" s="79">
      <c r="A30" s="23" t="inlineStr">
        <is>
          <t>グエンバ</t>
        </is>
      </c>
      <c r="B30" s="27" t="inlineStr">
        <is>
          <t>出/休</t>
        </is>
      </c>
      <c r="C30" s="50">
        <f t="array" ref="C30">_xlfn.IFS(OR(C$5="土",C$5="日",IFERROR(VLOOKUP(C$4,'data base'!$D$2:$F$30,3,FALSE),"")="休"),"休",C31="有休","欠",C$5="","",TRUE,"出")</f>
        <v/>
      </c>
      <c r="D30" s="50">
        <f t="array" ref="D30">_xlfn.IFS(OR(D$5="土",D$5="日",IFERROR(VLOOKUP(D$4,'data base'!$D$2:$F$30,3,FALSE),"")="休"),"休",D31="有休","欠",D$5="","",TRUE,"出")</f>
        <v/>
      </c>
      <c r="E30" s="50">
        <f t="array" ref="E30">_xlfn.IFS(OR(E$5="土",E$5="日",IFERROR(VLOOKUP(E$4,'data base'!$D$2:$F$30,3,FALSE),"")="休"),"休",E31="有休","欠",E$5="","",TRUE,"出")</f>
        <v/>
      </c>
      <c r="F30" s="50">
        <f t="array" ref="F30">_xlfn.IFS(OR(F$5="土",F$5="日",IFERROR(VLOOKUP(F$4,'data base'!$D$2:$F$30,3,FALSE),"")="休"),"休",F31="有休","欠",F$5="","",TRUE,"出")</f>
        <v/>
      </c>
      <c r="G30" s="50">
        <f t="array" ref="G30">_xlfn.IFS(OR(G$5="土",G$5="日",IFERROR(VLOOKUP(G$4,'data base'!$D$2:$F$30,3,FALSE),"")="休"),"休",G31="有休","欠",G$5="","",TRUE,"出")</f>
        <v/>
      </c>
      <c r="H30" s="50">
        <f t="array" ref="H30">_xlfn.IFS(OR(H$5="土",H$5="日",IFERROR(VLOOKUP(H$4,'data base'!$D$2:$F$30,3,FALSE),"")="休"),"休",H31="有休","欠",H$5="","",TRUE,"出")</f>
        <v/>
      </c>
      <c r="I30" s="50">
        <f t="array" ref="I30">_xlfn.IFS(OR(I$5="土",I$5="日",IFERROR(VLOOKUP(I$4,'data base'!$D$2:$F$30,3,FALSE),"")="休"),"休",I31="有休","欠",I$5="","",TRUE,"出")</f>
        <v/>
      </c>
      <c r="J30" s="50">
        <f t="array" ref="J30">_xlfn.IFS(OR(J$5="土",J$5="日",IFERROR(VLOOKUP(J$4,'data base'!$D$2:$F$30,3,FALSE),"")="休"),"休",J31="有休","欠",J$5="","",TRUE,"出")</f>
        <v/>
      </c>
      <c r="K30" s="50">
        <f t="array" ref="K30">_xlfn.IFS(OR(K$5="土",K$5="日",IFERROR(VLOOKUP(K$4,'data base'!$D$2:$F$30,3,FALSE),"")="休"),"休",K31="有休","欠",K$5="","",TRUE,"出")</f>
        <v/>
      </c>
      <c r="L30" s="50">
        <f t="array" ref="L30">_xlfn.IFS(OR(L$5="土",L$5="日",IFERROR(VLOOKUP(L$4,'data base'!$D$2:$F$30,3,FALSE),"")="休"),"休",L31="有休","欠",L$5="","",TRUE,"出")</f>
        <v/>
      </c>
      <c r="M30" s="50" t="n"/>
      <c r="N30" s="50">
        <f t="array" ref="N30">_xlfn.IFS(OR(N$5="土",N$5="日",IFERROR(VLOOKUP(N$4,'data base'!$D$2:$F$30,3,FALSE),"")="休"),"休",N31="有休","欠",N$5="","",TRUE,"出")</f>
        <v/>
      </c>
      <c r="O30" s="50">
        <f t="array" ref="O30">_xlfn.IFS(OR(O$5="土",O$5="日",IFERROR(VLOOKUP(O$4,'data base'!$D$2:$F$30,3,FALSE),"")="休"),"休",O31="有休","欠",O$5="","",TRUE,"出")</f>
        <v/>
      </c>
      <c r="P30" s="50">
        <f t="array" ref="P30">_xlfn.IFS(OR(P$5="土",P$5="日",IFERROR(VLOOKUP(P$4,'data base'!$D$2:$F$30,3,FALSE),"")="休"),"休",P31="有休","欠",P$5="","",TRUE,"出")</f>
        <v/>
      </c>
      <c r="Q30" s="50">
        <f t="array" ref="Q30">_xlfn.IFS(OR(Q$5="土",Q$5="日",IFERROR(VLOOKUP(Q$4,'data base'!$D$2:$F$30,3,FALSE),"")="休"),"休",Q31="有休","欠",Q$5="","",TRUE,"出")</f>
        <v/>
      </c>
      <c r="R30" s="50">
        <f t="array" ref="R30">_xlfn.IFS(OR(R$5="土",R$5="日",IFERROR(VLOOKUP(R$4,'data base'!$D$2:$F$30,3,FALSE),"")="休"),"休",R31="有休","欠",R$5="","",TRUE,"出")</f>
        <v/>
      </c>
      <c r="S30" s="50">
        <f t="array" ref="S30">_xlfn.IFS(OR(S$5="土",S$5="日",IFERROR(VLOOKUP(S$4,'data base'!$D$2:$F$30,3,FALSE),"")="休"),"休",S31="有休","欠",S$5="","",TRUE,"出")</f>
        <v/>
      </c>
      <c r="T30" s="50">
        <f t="array" ref="T30">_xlfn.IFS(OR(T$5="土",T$5="日",IFERROR(VLOOKUP(T$4,'data base'!$D$2:$F$30,3,FALSE),"")="休"),"休",T31="有休","欠",T$5="","",TRUE,"出")</f>
        <v/>
      </c>
      <c r="U30" s="50">
        <f t="array" ref="U30">_xlfn.IFS(OR(U$5="土",U$5="日",IFERROR(VLOOKUP(U$4,'data base'!$D$2:$F$30,3,FALSE),"")="休"),"休",U31="有休","欠",U$5="","",TRUE,"出")</f>
        <v/>
      </c>
      <c r="V30" s="50">
        <f t="array" ref="V30">_xlfn.IFS(OR(V$5="土",V$5="日",IFERROR(VLOOKUP(V$4,'data base'!$D$2:$F$30,3,FALSE),"")="休"),"休",V31="有休","欠",V$5="","",TRUE,"出")</f>
        <v/>
      </c>
      <c r="W30" s="50">
        <f t="array" ref="W30">_xlfn.IFS(OR(W$5="土",W$5="日",IFERROR(VLOOKUP(W$4,'data base'!$D$2:$F$30,3,FALSE),"")="休"),"休",W31="有休","欠",W$5="","",TRUE,"出")</f>
        <v/>
      </c>
      <c r="X30" s="50">
        <f t="array" ref="X30">_xlfn.IFS(OR(X$5="土",X$5="日",IFERROR(VLOOKUP(X$4,'data base'!$D$2:$F$30,3,FALSE),"")="休"),"休",X31="有休","欠",X$5="","",TRUE,"出")</f>
        <v/>
      </c>
      <c r="Y30" s="50">
        <f t="array" ref="Y30">_xlfn.IFS(OR(Y$5="土",Y$5="日",IFERROR(VLOOKUP(Y$4,'data base'!$D$2:$F$30,3,FALSE),"")="休"),"休",Y31="有休","欠",Y$5="","",TRUE,"出")</f>
        <v/>
      </c>
      <c r="Z30" s="50">
        <f t="array" ref="Z30">_xlfn.IFS(OR(Z$5="土",Z$5="日",IFERROR(VLOOKUP(Z$4,'data base'!$D$2:$F$30,3,FALSE),"")="休"),"休",Z31="有休","欠",Z$5="","",TRUE,"出")</f>
        <v/>
      </c>
      <c r="AA30" s="50">
        <f t="array" ref="AA30">_xlfn.IFS(OR(AA$5="土",AA$5="日",IFERROR(VLOOKUP(AA$4,'data base'!$D$2:$F$30,3,FALSE),"")="休"),"休",AA31="有休","欠",AA$5="","",TRUE,"出")</f>
        <v/>
      </c>
      <c r="AB30" s="50">
        <f t="array" ref="AB30">_xlfn.IFS(OR(AB$5="土",AB$5="日",IFERROR(VLOOKUP(AB$4,'data base'!$D$2:$F$30,3,FALSE),"")="休"),"休",AB31="有休","欠",AB$5="","",TRUE,"出")</f>
        <v/>
      </c>
      <c r="AC30" s="50">
        <f t="array" ref="AC30">_xlfn.IFS(OR(AC$5="土",AC$5="日",IFERROR(VLOOKUP(AC$4,'data base'!$D$2:$F$30,3,FALSE),"")="休"),"休",AC31="有休","欠",AC$5="","",TRUE,"出")</f>
        <v/>
      </c>
      <c r="AD30" s="50">
        <f t="array" ref="AD30">_xlfn.IFS(OR(AD$5="土",AD$5="日",IFERROR(VLOOKUP(AD$4,'data base'!$D$2:$F$30,3,FALSE),"")="休"),"休",AD31="有休","欠",AD$5="","",TRUE,"出")</f>
        <v/>
      </c>
      <c r="AE30" s="50">
        <f t="array" ref="AE30">_xlfn.IFS(OR(AE$5="土",AE$5="日",IFERROR(VLOOKUP(AE$4,'data base'!$D$2:$F$30,3,FALSE),"")="休"),"休",AE31="有休","欠",AE$5="","",TRUE,"出")</f>
        <v/>
      </c>
      <c r="AF30" s="50">
        <f t="array" ref="AF30">_xlfn.IFS(OR(AF$5="土",AF$5="日",IFERROR(VLOOKUP(AF$4,'data base'!$D$2:$F$30,3,FALSE),"")="休"),"休",AF31="有休","欠",AF$5="","",TRUE,"出")</f>
        <v/>
      </c>
      <c r="AG30" s="50">
        <f t="array" ref="AG30">_xlfn.IFS(OR(AG$5="土",AG$5="日",IFERROR(VLOOKUP(AG$4,'data base'!$D$2:$F$30,3,FALSE),"")="休"),"休",AG31="有休","欠",AG$5="","",TRUE,"出")</f>
        <v/>
      </c>
      <c r="AH30" s="28">
        <f>COUNTIF(C30:AG30,"出")</f>
        <v/>
      </c>
      <c r="AI30" s="58">
        <f>COUNTIF(B30:AF30,"欠")</f>
        <v/>
      </c>
      <c r="AJ30" s="29" t="n"/>
    </row>
    <row r="31" ht="18" customFormat="1" customHeight="1" s="62">
      <c r="A31" s="25" t="inlineStr">
        <is>
          <t>タイ</t>
        </is>
      </c>
      <c r="B31" s="30" t="n"/>
      <c r="C31" s="65" t="n"/>
      <c r="D31" s="66" t="n"/>
      <c r="E31" s="66" t="n"/>
      <c r="F31" s="73" t="n"/>
      <c r="G31" s="66" t="n"/>
      <c r="H31" s="66" t="n"/>
      <c r="I31" s="67" t="n"/>
      <c r="J31" s="68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  <c r="Z31" s="66" t="n"/>
      <c r="AA31" s="66" t="n"/>
      <c r="AB31" s="66" t="n"/>
      <c r="AC31" s="66" t="n"/>
      <c r="AD31" s="66" t="n"/>
      <c r="AE31" s="66" t="n"/>
      <c r="AF31" s="66" t="n"/>
      <c r="AG31" s="66" t="n"/>
      <c r="AH31" s="28" t="n"/>
      <c r="AI31" s="58" t="n"/>
      <c r="AJ31" s="29" t="n"/>
    </row>
  </sheetData>
  <conditionalFormatting sqref="C4:AG4">
    <cfRule type="expression" priority="6" dxfId="7">
      <formula>C5="土"</formula>
    </cfRule>
    <cfRule type="expression" priority="7" dxfId="0">
      <formula>C5="日"</formula>
    </cfRule>
  </conditionalFormatting>
  <conditionalFormatting sqref="C5:AG5">
    <cfRule type="expression" priority="3" dxfId="0">
      <formula>C5="日"</formula>
    </cfRule>
    <cfRule type="expression" priority="4" dxfId="4">
      <formula>C5="土"</formula>
    </cfRule>
    <cfRule type="expression" priority="5" dxfId="0">
      <formula>C6="日"</formula>
    </cfRule>
    <cfRule type="expression" priority="8" dxfId="2">
      <formula>NOT(OR(C5="土",C5="日"))</formula>
    </cfRule>
  </conditionalFormatting>
  <conditionalFormatting sqref="C6:AG6 C8:AG8 C10:AG10 C12:AG12 C14:AG14 C16:AG16 C18:AG18 C20:AG20 C24:AG24 C26:AG26 C28:AG28 C30:AG30">
    <cfRule type="expression" priority="9" dxfId="0">
      <formula>C6="休"</formula>
    </cfRule>
  </conditionalFormatting>
  <conditionalFormatting sqref="C22:AG22">
    <cfRule type="expression" priority="1" dxfId="0">
      <formula>C22="休"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85"/>
  <sheetViews>
    <sheetView workbookViewId="0">
      <selection activeCell="C28" sqref="C28"/>
    </sheetView>
  </sheetViews>
  <sheetFormatPr baseColWidth="8" defaultRowHeight="18.75"/>
  <cols>
    <col width="6.625" bestFit="1" customWidth="1" style="1" min="1" max="1"/>
    <col width="7.125" bestFit="1" customWidth="1" style="1" min="2" max="2"/>
    <col width="13" bestFit="1" customWidth="1" style="1" min="3" max="3"/>
    <col width="11" bestFit="1" customWidth="1" style="1" min="4" max="4"/>
    <col width="9" customWidth="1" style="1" min="5" max="7"/>
    <col width="81.125" bestFit="1" customWidth="1" style="1" min="8" max="8"/>
  </cols>
  <sheetData>
    <row r="1">
      <c r="A1" s="1" t="inlineStr">
        <is>
          <t>区分</t>
        </is>
      </c>
      <c r="B1" s="1" t="inlineStr">
        <is>
          <t>作業者</t>
        </is>
      </c>
      <c r="C1" s="1" t="inlineStr">
        <is>
          <t>ソフト・機材</t>
        </is>
      </c>
      <c r="D1" s="1" t="inlineStr">
        <is>
          <t>車両</t>
        </is>
      </c>
      <c r="E1" s="1" t="inlineStr">
        <is>
          <t>移動方法</t>
        </is>
      </c>
      <c r="F1" s="2" t="inlineStr">
        <is>
          <t>区分</t>
        </is>
      </c>
      <c r="G1" s="2" t="inlineStr">
        <is>
          <t>業務名(略)</t>
        </is>
      </c>
      <c r="H1" s="2" t="inlineStr">
        <is>
          <t>業務名</t>
        </is>
      </c>
    </row>
    <row r="2">
      <c r="A2" s="11" t="inlineStr">
        <is>
          <t>事務</t>
        </is>
      </c>
      <c r="B2" s="11" t="inlineStr">
        <is>
          <t>荒木</t>
        </is>
      </c>
      <c r="C2" s="11" t="inlineStr">
        <is>
          <t>なし</t>
        </is>
      </c>
      <c r="D2" s="11" t="inlineStr">
        <is>
          <t>なし</t>
        </is>
      </c>
      <c r="E2" s="11" t="inlineStr">
        <is>
          <t>下道</t>
        </is>
      </c>
      <c r="F2" s="1" t="inlineStr">
        <is>
          <t>事務</t>
        </is>
      </c>
      <c r="G2" s="1" t="inlineStr">
        <is>
          <t>事務</t>
        </is>
      </c>
      <c r="H2" s="1" t="inlineStr">
        <is>
          <t>事務作業</t>
        </is>
      </c>
    </row>
    <row r="3">
      <c r="A3" s="11" t="inlineStr">
        <is>
          <t>営業</t>
        </is>
      </c>
      <c r="B3" s="11" t="inlineStr">
        <is>
          <t>竹本</t>
        </is>
      </c>
      <c r="C3" s="11" t="inlineStr">
        <is>
          <t>武蔵</t>
        </is>
      </c>
      <c r="D3" s="11" t="inlineStr">
        <is>
          <t>ステップワゴン</t>
        </is>
      </c>
      <c r="E3" s="11" t="inlineStr">
        <is>
          <t>高速</t>
        </is>
      </c>
      <c r="F3" s="1" t="inlineStr">
        <is>
          <t>営業</t>
        </is>
      </c>
      <c r="G3" s="1" t="inlineStr">
        <is>
          <t>営業</t>
        </is>
      </c>
      <c r="H3" s="1" t="inlineStr">
        <is>
          <t>単発の打合せ(iシステム月例)、YouTube更新、チラシ作成などの営業活動</t>
        </is>
      </c>
    </row>
    <row r="4">
      <c r="A4" s="11" t="inlineStr">
        <is>
          <t>研修</t>
        </is>
      </c>
      <c r="B4" s="11" t="inlineStr">
        <is>
          <t>内藤</t>
        </is>
      </c>
      <c r="C4" s="11" t="inlineStr">
        <is>
          <t>Trend-Point</t>
        </is>
      </c>
      <c r="D4" s="11" t="inlineStr">
        <is>
          <t>ハイエース</t>
        </is>
      </c>
      <c r="E4" s="11" t="n"/>
      <c r="F4" s="1" t="inlineStr">
        <is>
          <t>研修</t>
        </is>
      </c>
      <c r="G4" s="1" t="inlineStr">
        <is>
          <t>研修</t>
        </is>
      </c>
      <c r="H4" s="1" t="inlineStr">
        <is>
          <t>ソフトの練習、講習など</t>
        </is>
      </c>
    </row>
    <row r="5">
      <c r="A5" s="11" t="inlineStr">
        <is>
          <t>IS</t>
        </is>
      </c>
      <c r="B5" s="11" t="inlineStr">
        <is>
          <t>金本</t>
        </is>
      </c>
      <c r="C5" s="11" t="inlineStr">
        <is>
          <t>Trend-CORE</t>
        </is>
      </c>
      <c r="E5" s="11" t="n"/>
      <c r="F5" s="1" t="inlineStr">
        <is>
          <t>IS</t>
        </is>
      </c>
      <c r="G5" s="1" t="inlineStr">
        <is>
          <t>インターン</t>
        </is>
      </c>
      <c r="H5" s="1" t="inlineStr">
        <is>
          <t>インターンシップ</t>
        </is>
      </c>
    </row>
    <row r="6">
      <c r="A6" s="11" t="inlineStr">
        <is>
          <t>機器</t>
        </is>
      </c>
      <c r="B6" s="11" t="inlineStr">
        <is>
          <t>フック</t>
        </is>
      </c>
      <c r="C6" s="11" t="inlineStr">
        <is>
          <t>AUTODESK</t>
        </is>
      </c>
      <c r="F6" s="1" t="inlineStr">
        <is>
          <t>機器</t>
        </is>
      </c>
      <c r="G6" s="1" t="inlineStr">
        <is>
          <t>機器関係</t>
        </is>
      </c>
      <c r="H6" s="1" t="inlineStr">
        <is>
          <t>PCの設定、測量機器関係、ドローン関係（Analyzer05以外）</t>
        </is>
      </c>
    </row>
    <row r="7">
      <c r="A7" s="11" t="inlineStr">
        <is>
          <t>車</t>
        </is>
      </c>
      <c r="B7" s="11" t="inlineStr">
        <is>
          <t>タイ</t>
        </is>
      </c>
      <c r="C7" s="11" t="inlineStr">
        <is>
          <t>SCENE</t>
        </is>
      </c>
      <c r="F7" s="1" t="inlineStr">
        <is>
          <t>車</t>
        </is>
      </c>
      <c r="G7" s="1" t="inlineStr">
        <is>
          <t>車関係</t>
        </is>
      </c>
      <c r="H7" s="1" t="inlineStr">
        <is>
          <t>点検、ガソリン、洗車など</t>
        </is>
      </c>
    </row>
    <row r="8">
      <c r="A8" s="11" t="inlineStr">
        <is>
          <t>開発</t>
        </is>
      </c>
      <c r="B8" s="11" t="inlineStr">
        <is>
          <t>村上</t>
        </is>
      </c>
      <c r="C8" s="11" t="inlineStr">
        <is>
          <t>Metashape</t>
        </is>
      </c>
      <c r="F8" s="1" t="inlineStr">
        <is>
          <t>開発</t>
        </is>
      </c>
      <c r="G8" s="1" t="inlineStr">
        <is>
          <t>開発関係</t>
        </is>
      </c>
      <c r="H8" s="1" t="inlineStr">
        <is>
          <t>システム、プログラムなど</t>
        </is>
      </c>
    </row>
    <row r="9">
      <c r="A9" s="11" t="inlineStr">
        <is>
          <t>VT01</t>
        </is>
      </c>
      <c r="B9" s="11" t="inlineStr">
        <is>
          <t>仲</t>
        </is>
      </c>
      <c r="C9" s="11" t="inlineStr">
        <is>
          <t>Inspire2</t>
        </is>
      </c>
      <c r="F9" s="1" t="inlineStr">
        <is>
          <t>VT01</t>
        </is>
      </c>
      <c r="G9" s="1" t="inlineStr">
        <is>
          <t>駐在所</t>
        </is>
      </c>
      <c r="H9" s="1" t="inlineStr">
        <is>
          <t>ベトナムオンラインなど</t>
        </is>
      </c>
    </row>
    <row r="10">
      <c r="A10" s="11" t="inlineStr">
        <is>
          <t>VT05</t>
        </is>
      </c>
      <c r="B10" s="11" t="inlineStr">
        <is>
          <t>天野</t>
        </is>
      </c>
      <c r="C10" s="11" t="inlineStr">
        <is>
          <t>ANA01</t>
        </is>
      </c>
      <c r="F10" s="1" t="inlineStr">
        <is>
          <t>VT05</t>
        </is>
      </c>
      <c r="G10" s="1" t="inlineStr">
        <is>
          <t>法人化</t>
        </is>
      </c>
      <c r="H10" s="1" t="inlineStr">
        <is>
          <t>ベトナム法人化</t>
        </is>
      </c>
    </row>
    <row r="11">
      <c r="A11" s="11" t="inlineStr">
        <is>
          <t>EA45</t>
        </is>
      </c>
      <c r="B11" s="11" t="inlineStr">
        <is>
          <t>人見</t>
        </is>
      </c>
      <c r="C11" s="11" t="inlineStr">
        <is>
          <t>ボート</t>
        </is>
      </c>
      <c r="F11" s="1" t="inlineStr">
        <is>
          <t>EA45</t>
        </is>
      </c>
      <c r="G11" s="1" t="inlineStr">
        <is>
          <t>北陸</t>
        </is>
      </c>
      <c r="H11" s="1" t="inlineStr">
        <is>
          <t>北陸自動車道　橋梁支承補強工事(日本ピーエス)</t>
        </is>
      </c>
    </row>
    <row r="12">
      <c r="A12" s="11" t="inlineStr">
        <is>
          <t>EA88</t>
        </is>
      </c>
      <c r="B12" s="11" t="inlineStr">
        <is>
          <t>南</t>
        </is>
      </c>
      <c r="C12" s="11" t="inlineStr">
        <is>
          <t>IMU</t>
        </is>
      </c>
      <c r="F12" s="1" t="inlineStr">
        <is>
          <t>EA88</t>
        </is>
      </c>
      <c r="G12" s="1" t="inlineStr">
        <is>
          <t>天ヶ瀬ダム</t>
        </is>
      </c>
      <c r="H12" s="1" t="inlineStr">
        <is>
          <t>天ヶ瀬ダム護岸復旧工事（第一土木）</t>
        </is>
      </c>
    </row>
    <row r="13">
      <c r="A13" s="11" t="inlineStr">
        <is>
          <t>EA91</t>
        </is>
      </c>
      <c r="B13" s="11" t="inlineStr">
        <is>
          <t>杉本</t>
        </is>
      </c>
      <c r="C13" s="11" t="inlineStr">
        <is>
          <t>FARO</t>
        </is>
      </c>
      <c r="F13" s="1" t="inlineStr">
        <is>
          <t>EA91</t>
        </is>
      </c>
      <c r="G13" s="1" t="inlineStr">
        <is>
          <t>冷水地区</t>
        </is>
      </c>
      <c r="H13" s="1" t="inlineStr">
        <is>
          <t>冷水地区北西部斜面対策工事(安藤ハザマ)</t>
        </is>
      </c>
    </row>
    <row r="14">
      <c r="A14" s="11" t="inlineStr">
        <is>
          <t>EA94</t>
        </is>
      </c>
      <c r="B14" s="11" t="inlineStr">
        <is>
          <t>ズイ</t>
        </is>
      </c>
      <c r="C14" s="11" t="inlineStr">
        <is>
          <t>TerraceAR</t>
        </is>
      </c>
      <c r="F14" s="1" t="inlineStr">
        <is>
          <t>EA94</t>
        </is>
      </c>
      <c r="G14" s="1" t="inlineStr">
        <is>
          <t>なにわ筋</t>
        </is>
      </c>
      <c r="H14" s="1" t="inlineStr">
        <is>
          <t>なにわ筋線西本町駅（錢高組）</t>
        </is>
      </c>
    </row>
    <row r="15">
      <c r="A15" s="11" t="inlineStr">
        <is>
          <t>EA96</t>
        </is>
      </c>
      <c r="B15" s="11" t="inlineStr">
        <is>
          <t>バタイ</t>
        </is>
      </c>
      <c r="C15" s="11" t="inlineStr">
        <is>
          <t>mixpace</t>
        </is>
      </c>
      <c r="F15" s="1" t="inlineStr">
        <is>
          <t>EA96</t>
        </is>
      </c>
      <c r="G15" s="1" t="inlineStr">
        <is>
          <t>新都市</t>
        </is>
      </c>
      <c r="H15" s="1" t="inlineStr">
        <is>
          <t>近畿地整_新都市研究会（大西先生・小山先生）</t>
        </is>
      </c>
    </row>
    <row r="16">
      <c r="A16" s="11" t="inlineStr">
        <is>
          <t>EA97</t>
        </is>
      </c>
      <c r="B16" s="11" t="inlineStr">
        <is>
          <t>千原</t>
        </is>
      </c>
      <c r="F16" s="1" t="inlineStr">
        <is>
          <t>EA97</t>
        </is>
      </c>
      <c r="G16" s="1" t="inlineStr">
        <is>
          <t>西シールド</t>
        </is>
      </c>
      <c r="H16" s="1" t="inlineStr">
        <is>
          <t>国道9号京都西シールド工事（五洋建設－栗山）</t>
        </is>
      </c>
    </row>
    <row r="17">
      <c r="A17" s="11" t="inlineStr">
        <is>
          <t>EA98</t>
        </is>
      </c>
      <c r="B17" s="11" t="inlineStr">
        <is>
          <t>坂田</t>
        </is>
      </c>
      <c r="F17" s="1" t="inlineStr">
        <is>
          <t>EA98</t>
        </is>
      </c>
      <c r="G17" s="1" t="inlineStr">
        <is>
          <t>城陽</t>
        </is>
      </c>
      <c r="H17" s="1" t="inlineStr">
        <is>
          <t>城陽井手木津川バイパス才田川橋A2下部工事（丹波建設）</t>
        </is>
      </c>
    </row>
    <row r="18">
      <c r="A18" s="11" t="inlineStr">
        <is>
          <t>EA105</t>
        </is>
      </c>
      <c r="B18" s="11" t="n"/>
      <c r="F18" s="1" t="inlineStr">
        <is>
          <t>EA105</t>
        </is>
      </c>
      <c r="G18" s="1" t="inlineStr">
        <is>
          <t>鳥居水門</t>
        </is>
      </c>
      <c r="H18" s="1" t="inlineStr">
        <is>
          <t>和歌山下津港海岸(海南地区)鳥居水門・護岸等築造工事（五洋建設ー玉井）</t>
        </is>
      </c>
    </row>
    <row r="19">
      <c r="A19" s="11" t="inlineStr">
        <is>
          <t>EA106</t>
        </is>
      </c>
      <c r="F19" s="1" t="inlineStr">
        <is>
          <t>EA106</t>
        </is>
      </c>
      <c r="G19" s="1" t="inlineStr">
        <is>
          <t>国道9号京都西</t>
        </is>
      </c>
      <c r="H19" s="1" t="inlineStr">
        <is>
          <t>国道9号京都西共同溝到達立坑出入口部他工事（第一土木）</t>
        </is>
      </c>
    </row>
    <row r="20">
      <c r="A20" s="11" t="inlineStr">
        <is>
          <t>EA108</t>
        </is>
      </c>
      <c r="F20" s="1" t="inlineStr">
        <is>
          <t>EA108</t>
        </is>
      </c>
      <c r="G20" s="1" t="inlineStr">
        <is>
          <t>笠岡</t>
        </is>
      </c>
      <c r="H20" s="1" t="inlineStr">
        <is>
          <t>玉島笠岡道路西大島新田橋（日本ピーエス-児玉）</t>
        </is>
      </c>
    </row>
    <row r="21">
      <c r="A21" s="11" t="inlineStr">
        <is>
          <t>EA109</t>
        </is>
      </c>
      <c r="F21" s="1" t="inlineStr">
        <is>
          <t>EA109</t>
        </is>
      </c>
      <c r="G21" s="1" t="inlineStr">
        <is>
          <t>荒川</t>
        </is>
      </c>
      <c r="H21" s="1" t="inlineStr">
        <is>
          <t>荒川河口橋ＢIMCIM（丸重屋）</t>
        </is>
      </c>
    </row>
    <row r="22">
      <c r="A22" s="11" t="inlineStr">
        <is>
          <t>EA111</t>
        </is>
      </c>
      <c r="F22" s="1" t="inlineStr">
        <is>
          <t>EA111</t>
        </is>
      </c>
      <c r="G22" s="1" t="inlineStr">
        <is>
          <t>藤白水門</t>
        </is>
      </c>
      <c r="H22" s="1" t="inlineStr">
        <is>
          <t>和歌山下津港海岸(海南地区)藤白水門・護岸等築造工事（五洋建設－鈴木）</t>
        </is>
      </c>
    </row>
    <row r="23">
      <c r="A23" s="11" t="inlineStr">
        <is>
          <t>EA112</t>
        </is>
      </c>
      <c r="F23" s="1" t="inlineStr">
        <is>
          <t>EA112</t>
        </is>
      </c>
      <c r="G23" s="1" t="inlineStr">
        <is>
          <t>田辺</t>
        </is>
      </c>
      <c r="H23" s="1" t="inlineStr">
        <is>
          <t>田辺排水機場新築工事（第一土木）</t>
        </is>
      </c>
    </row>
    <row r="24">
      <c r="A24" s="11" t="inlineStr">
        <is>
          <t>EA119</t>
        </is>
      </c>
      <c r="F24" s="1" t="inlineStr">
        <is>
          <t>EA119</t>
        </is>
      </c>
      <c r="G24" s="1" t="inlineStr">
        <is>
          <t>藤白3-B</t>
        </is>
      </c>
      <c r="H24" s="1" t="inlineStr">
        <is>
          <t>和歌山下津港海岸(海南地区)藤白護岸(第3-B工区)等築造工事（五洋建設ー吉田）</t>
        </is>
      </c>
    </row>
    <row r="25">
      <c r="A25" s="11" t="inlineStr">
        <is>
          <t>EA125</t>
        </is>
      </c>
      <c r="F25" s="1" t="inlineStr">
        <is>
          <t>EA125</t>
        </is>
      </c>
      <c r="G25" s="1" t="inlineStr">
        <is>
          <t>黒部渓谷</t>
        </is>
      </c>
      <c r="H25" s="1" t="inlineStr">
        <is>
          <t>黒部渓谷計測案件（関西電力水力センター）</t>
        </is>
      </c>
    </row>
    <row r="26">
      <c r="A26" s="11" t="inlineStr">
        <is>
          <t>EA129</t>
        </is>
      </c>
      <c r="F26" s="1" t="inlineStr">
        <is>
          <t>EA129</t>
        </is>
      </c>
      <c r="G26" s="1" t="inlineStr">
        <is>
          <t>展示会</t>
        </is>
      </c>
      <c r="H26" s="1" t="inlineStr">
        <is>
          <t>インフラメンテナンス国民会議　近畿本部フォーラム2025</t>
        </is>
      </c>
    </row>
    <row r="27">
      <c r="A27" s="11" t="inlineStr">
        <is>
          <t>EA130</t>
        </is>
      </c>
      <c r="F27" s="1" t="inlineStr">
        <is>
          <t>EA130</t>
        </is>
      </c>
      <c r="G27" s="1" t="inlineStr">
        <is>
          <t>福山港</t>
        </is>
      </c>
      <c r="H27" s="1" t="inlineStr">
        <is>
          <t>福山港箕島地区泊地(-12m)浚渫工事(その2)（天野産業）</t>
        </is>
      </c>
    </row>
    <row r="28">
      <c r="A28" s="11" t="inlineStr">
        <is>
          <t>EA131</t>
        </is>
      </c>
      <c r="F28" s="1" t="inlineStr">
        <is>
          <t>EA131</t>
        </is>
      </c>
      <c r="G28" s="1" t="inlineStr">
        <is>
          <t>福井第4</t>
        </is>
      </c>
      <c r="H28" s="1" t="inlineStr">
        <is>
          <t>福井第4(橋梁)地区(二州地区)業務委託（クモノス）</t>
        </is>
      </c>
    </row>
    <row r="29">
      <c r="A29" s="11" t="inlineStr">
        <is>
          <t>EA134</t>
        </is>
      </c>
      <c r="F29" s="1" t="inlineStr">
        <is>
          <t>EA134</t>
        </is>
      </c>
      <c r="G29" s="1" t="inlineStr">
        <is>
          <t>教材作成</t>
        </is>
      </c>
      <c r="H29" s="1" t="inlineStr">
        <is>
          <t>なにわ筋_社員教育用教材作成（錢高組）</t>
        </is>
      </c>
    </row>
    <row r="30">
      <c r="A30" s="11" t="inlineStr">
        <is>
          <t>EA136</t>
        </is>
      </c>
      <c r="F30" s="1" t="inlineStr">
        <is>
          <t>EA136</t>
        </is>
      </c>
      <c r="G30" s="1" t="inlineStr">
        <is>
          <t>DX大賞(第一)</t>
        </is>
      </c>
      <c r="H30" s="1" t="inlineStr">
        <is>
          <t>R7インフラDX大賞（第一土木）</t>
        </is>
      </c>
    </row>
    <row r="31">
      <c r="A31" s="11" t="inlineStr">
        <is>
          <t>EA137</t>
        </is>
      </c>
      <c r="F31" s="1" t="inlineStr">
        <is>
          <t>EA137</t>
        </is>
      </c>
      <c r="G31" s="1" t="inlineStr">
        <is>
          <t>DX大賞(錢高)</t>
        </is>
      </c>
      <c r="H31" s="1" t="inlineStr">
        <is>
          <t>R7インフラDX大賞（錢高組）</t>
        </is>
      </c>
    </row>
    <row r="32">
      <c r="A32" s="11" t="inlineStr">
        <is>
          <t>EA138</t>
        </is>
      </c>
      <c r="F32" s="1" t="inlineStr">
        <is>
          <t>EA138</t>
        </is>
      </c>
      <c r="G32" s="1" t="inlineStr">
        <is>
          <t>DX大賞(昭第JV)</t>
        </is>
      </c>
      <c r="H32" s="1" t="inlineStr">
        <is>
          <t>R7インフラDX大賞（昭和＆第一土木JV）</t>
        </is>
      </c>
    </row>
    <row r="33">
      <c r="A33" s="11" t="inlineStr">
        <is>
          <t>EA139</t>
        </is>
      </c>
      <c r="F33" s="1" t="inlineStr">
        <is>
          <t>EA139</t>
        </is>
      </c>
      <c r="G33" s="1" t="inlineStr">
        <is>
          <t>神戸西</t>
        </is>
      </c>
      <c r="H33" s="1" t="inlineStr">
        <is>
          <t>神戸西バイパス菅野高架橋（日本ピーエス）</t>
        </is>
      </c>
    </row>
    <row r="34">
      <c r="A34" s="11" t="inlineStr">
        <is>
          <t>EA140</t>
        </is>
      </c>
      <c r="F34" s="1" t="inlineStr">
        <is>
          <t>EA140</t>
        </is>
      </c>
      <c r="G34" s="1" t="inlineStr">
        <is>
          <t>生石川橋</t>
        </is>
      </c>
      <c r="H34" s="1" t="inlineStr">
        <is>
          <t>生石川橋ＰＣ上部工事(日本ピーエス)</t>
        </is>
      </c>
    </row>
    <row r="35">
      <c r="A35" s="11" t="inlineStr">
        <is>
          <t>EA141</t>
        </is>
      </c>
      <c r="F35" s="1" t="inlineStr">
        <is>
          <t>EA141</t>
        </is>
      </c>
      <c r="G35" s="1" t="inlineStr">
        <is>
          <t>和歌山橋本</t>
        </is>
      </c>
      <c r="H35" s="1" t="inlineStr">
        <is>
          <t>和歌山県橋本市 補強土壁経過観測（ジオシステム）</t>
        </is>
      </c>
    </row>
    <row r="36">
      <c r="A36" s="11" t="inlineStr">
        <is>
          <t>EA142</t>
        </is>
      </c>
      <c r="F36" s="1" t="inlineStr">
        <is>
          <t>EA142</t>
        </is>
      </c>
      <c r="G36" s="1" t="inlineStr">
        <is>
          <t>南丹給食</t>
        </is>
      </c>
      <c r="H36" s="1" t="inlineStr">
        <is>
          <t>南丹市立学校給食共同調理場新築工事</t>
        </is>
      </c>
    </row>
    <row r="37">
      <c r="A37" s="11" t="inlineStr">
        <is>
          <t>EA143</t>
        </is>
      </c>
      <c r="F37" s="1" t="inlineStr">
        <is>
          <t>EA143</t>
        </is>
      </c>
      <c r="G37" s="1" t="inlineStr">
        <is>
          <t>蛙ヶ谷標柱</t>
        </is>
      </c>
      <c r="H37" s="1" t="inlineStr">
        <is>
          <t>蛙ヶ谷標柱境界杭計測業務（昭和建設）</t>
        </is>
      </c>
    </row>
    <row r="38">
      <c r="A38" s="11" t="inlineStr">
        <is>
          <t>EA146</t>
        </is>
      </c>
      <c r="F38" s="1" t="inlineStr">
        <is>
          <t>EA146</t>
        </is>
      </c>
      <c r="G38" s="1" t="inlineStr">
        <is>
          <t>熊本災害</t>
        </is>
      </c>
      <c r="H38" s="1" t="inlineStr">
        <is>
          <t>熊本県災害調査</t>
        </is>
      </c>
    </row>
    <row r="39">
      <c r="A39" s="11" t="inlineStr">
        <is>
          <t>EA147</t>
        </is>
      </c>
      <c r="F39" s="1" t="inlineStr">
        <is>
          <t>EA147</t>
        </is>
      </c>
      <c r="G39" s="1" t="inlineStr">
        <is>
          <t>新大阪ブリック</t>
        </is>
      </c>
      <c r="H39" s="1" t="inlineStr">
        <is>
          <t>新大阪ブリックビルひび割れ・変状調査(クモノスコーポレーション)</t>
        </is>
      </c>
    </row>
    <row r="40">
      <c r="A40" s="11" t="inlineStr">
        <is>
          <t>EA148</t>
        </is>
      </c>
      <c r="F40" s="1" t="inlineStr">
        <is>
          <t>EA148</t>
        </is>
      </c>
      <c r="G40" s="1" t="inlineStr">
        <is>
          <t>日吉発電所</t>
        </is>
      </c>
      <c r="H40" s="1" t="inlineStr">
        <is>
          <t>日吉太陽光発電所_図面作成（ダイエネ）</t>
        </is>
      </c>
    </row>
    <row r="41">
      <c r="A41" s="11" t="inlineStr">
        <is>
          <t>EA149</t>
        </is>
      </c>
      <c r="F41" s="1" t="inlineStr">
        <is>
          <t>EA149</t>
        </is>
      </c>
      <c r="G41" s="1" t="inlineStr">
        <is>
          <t>呑龍ポンプ場</t>
        </is>
      </c>
      <c r="H41" s="1" t="inlineStr">
        <is>
          <t>呑龍ポンプ場場内整備その2</t>
        </is>
      </c>
    </row>
    <row r="42">
      <c r="A42" s="11" t="inlineStr">
        <is>
          <t>EA150</t>
        </is>
      </c>
      <c r="F42" s="1" t="inlineStr">
        <is>
          <t>EA150</t>
        </is>
      </c>
      <c r="G42" s="1" t="inlineStr">
        <is>
          <t>松葉高架橋</t>
        </is>
      </c>
      <c r="H42" s="1" t="inlineStr">
        <is>
          <t>松葉高架橋他２０橋耐震補強工事（五洋・南海辰村ＪＶ）</t>
        </is>
      </c>
    </row>
    <row r="43">
      <c r="A43" s="11" t="inlineStr">
        <is>
          <t>EA151</t>
        </is>
      </c>
      <c r="F43" s="1" t="inlineStr">
        <is>
          <t>EA151</t>
        </is>
      </c>
      <c r="G43" s="1" t="inlineStr">
        <is>
          <t>由良川調査</t>
        </is>
      </c>
      <c r="H43" s="1" t="inlineStr">
        <is>
          <t>由良川維持管理効率化に伴うドローン計測業務（オリエンタルコンサルタンツ）</t>
        </is>
      </c>
    </row>
    <row r="44">
      <c r="A44" s="11" t="inlineStr">
        <is>
          <t>EA152</t>
        </is>
      </c>
      <c r="F44" s="1" t="inlineStr">
        <is>
          <t>EA152</t>
        </is>
      </c>
      <c r="G44" s="1" t="inlineStr">
        <is>
          <t>北区栄町</t>
        </is>
      </c>
      <c r="H44" s="1" t="inlineStr">
        <is>
          <t>北区栄町石神井川流域貯留管工事（錢高組）</t>
        </is>
      </c>
    </row>
    <row r="45">
      <c r="A45" s="11" t="inlineStr">
        <is>
          <t>EA153</t>
        </is>
      </c>
      <c r="F45" s="1" t="inlineStr">
        <is>
          <t>EA153</t>
        </is>
      </c>
      <c r="G45" s="1" t="inlineStr">
        <is>
          <t>八木嶋造成</t>
        </is>
      </c>
      <c r="H45" s="1" t="inlineStr">
        <is>
          <t>八木嶋(自社)造成工事（第一土木）</t>
        </is>
      </c>
    </row>
    <row r="46">
      <c r="A46" s="11" t="inlineStr">
        <is>
          <t>EA155</t>
        </is>
      </c>
      <c r="F46" s="1" t="inlineStr">
        <is>
          <t>EA155</t>
        </is>
      </c>
      <c r="G46" s="1" t="inlineStr">
        <is>
          <t>京橋駅地下</t>
        </is>
      </c>
      <c r="H46" s="1" t="inlineStr">
        <is>
          <t>京橋駅周辺地下化工事（錢高組）</t>
        </is>
      </c>
    </row>
    <row r="47">
      <c r="A47" s="11" t="inlineStr">
        <is>
          <t>EA156</t>
        </is>
      </c>
      <c r="F47" s="1" t="inlineStr">
        <is>
          <t>EA156</t>
        </is>
      </c>
      <c r="G47" s="1" t="inlineStr">
        <is>
          <t>R7寺田拡幅</t>
        </is>
      </c>
      <c r="H47" s="1" t="inlineStr">
        <is>
          <t>R7寺田拡幅交差点他整備工事(近畿地方整備局 京都国道事務所)</t>
        </is>
      </c>
    </row>
    <row r="48">
      <c r="A48" s="11" t="inlineStr">
        <is>
          <t>EA157</t>
        </is>
      </c>
      <c r="F48" s="1" t="inlineStr">
        <is>
          <t>EA157</t>
        </is>
      </c>
      <c r="G48" s="1" t="inlineStr">
        <is>
          <t>蛙ヶ谷基準点</t>
        </is>
      </c>
      <c r="H48" s="1" t="inlineStr">
        <is>
          <t>蛙ヶ谷川事業間連携砂防等（砂防・補正）工事_基準点測量(一建設)</t>
        </is>
      </c>
    </row>
    <row r="49">
      <c r="A49" s="11" t="inlineStr">
        <is>
          <t>EA158</t>
        </is>
      </c>
      <c r="F49" s="1" t="inlineStr">
        <is>
          <t>EA158</t>
        </is>
      </c>
      <c r="G49" s="1" t="inlineStr">
        <is>
          <t>大熊町橋梁点検</t>
        </is>
      </c>
      <c r="H49" s="1" t="inlineStr">
        <is>
          <t>大熊町橋梁点検プロポーザル（日本ピーエス）</t>
        </is>
      </c>
    </row>
    <row r="50">
      <c r="A50" s="11" t="inlineStr">
        <is>
          <t>RD5</t>
        </is>
      </c>
      <c r="F50" s="1" t="inlineStr">
        <is>
          <t>RD5</t>
        </is>
      </c>
      <c r="G50" s="1" t="inlineStr">
        <is>
          <t>ANA05</t>
        </is>
      </c>
      <c r="H50" s="1" t="inlineStr">
        <is>
          <t>IMUドローン(SARUTAHIKO)開発～Analyzer05～</t>
        </is>
      </c>
    </row>
    <row r="51">
      <c r="A51" s="11" t="inlineStr">
        <is>
          <t>RD11</t>
        </is>
      </c>
      <c r="F51" s="1" t="inlineStr">
        <is>
          <t>RD11</t>
        </is>
      </c>
      <c r="G51" s="1" t="inlineStr">
        <is>
          <t>NIRO</t>
        </is>
      </c>
      <c r="H51" s="1" t="inlineStr">
        <is>
          <t>ドローン利活用プラットフォーム（NIRO）</t>
        </is>
      </c>
    </row>
    <row r="52">
      <c r="A52" s="11" t="inlineStr">
        <is>
          <t>RD13</t>
        </is>
      </c>
      <c r="F52" s="1" t="inlineStr">
        <is>
          <t>RD13</t>
        </is>
      </c>
      <c r="G52" s="1" t="inlineStr">
        <is>
          <t>補助金</t>
        </is>
      </c>
      <c r="H52" s="1" t="inlineStr">
        <is>
          <t>シェアビジョン（補助金）</t>
        </is>
      </c>
    </row>
    <row r="53">
      <c r="A53" s="11" t="inlineStr">
        <is>
          <t>RD21</t>
        </is>
      </c>
      <c r="F53" s="1" t="inlineStr">
        <is>
          <t>RD21</t>
        </is>
      </c>
      <c r="G53" s="1" t="inlineStr">
        <is>
          <t>技術顕彰</t>
        </is>
      </c>
      <c r="H53" s="1" t="inlineStr">
        <is>
          <t>R7京都府中小企業技術顕彰</t>
        </is>
      </c>
    </row>
    <row r="54">
      <c r="A54" s="11" t="inlineStr">
        <is>
          <t>RD24</t>
        </is>
      </c>
      <c r="F54" s="1" t="inlineStr">
        <is>
          <t>RD24</t>
        </is>
      </c>
      <c r="G54" s="1" t="inlineStr">
        <is>
          <t>日野川</t>
        </is>
      </c>
      <c r="H54" s="1" t="inlineStr">
        <is>
          <t>日野川橋梁実証実験</t>
        </is>
      </c>
    </row>
    <row r="55">
      <c r="A55" s="11" t="inlineStr">
        <is>
          <t>RD25</t>
        </is>
      </c>
      <c r="F55" s="1" t="inlineStr">
        <is>
          <t>RD25</t>
        </is>
      </c>
      <c r="G55" s="1" t="inlineStr">
        <is>
          <t>旭川大橋</t>
        </is>
      </c>
      <c r="H55" s="1" t="inlineStr">
        <is>
          <t>旭川大橋実証実験</t>
        </is>
      </c>
    </row>
    <row r="56">
      <c r="A56" s="11" t="inlineStr">
        <is>
          <t>RD28</t>
        </is>
      </c>
      <c r="F56" s="1" t="inlineStr">
        <is>
          <t>RD28</t>
        </is>
      </c>
      <c r="G56" s="1" t="inlineStr">
        <is>
          <t>小型ドローン</t>
        </is>
      </c>
      <c r="H56" s="1" t="inlineStr">
        <is>
          <t>ドローン小型化プロジェクト</t>
        </is>
      </c>
    </row>
    <row r="57">
      <c r="A57" s="11" t="inlineStr">
        <is>
          <t>RD29</t>
        </is>
      </c>
      <c r="F57" s="1" t="inlineStr">
        <is>
          <t>RD29</t>
        </is>
      </c>
      <c r="G57" s="1" t="inlineStr">
        <is>
          <t>3DCAD飛行経路作成</t>
        </is>
      </c>
      <c r="H57" s="1" t="inlineStr">
        <is>
          <t>3DCAD飛行経路作成</t>
        </is>
      </c>
    </row>
    <row r="58">
      <c r="A58" s="11" t="inlineStr">
        <is>
          <t>SM21</t>
        </is>
      </c>
      <c r="F58" s="1" t="inlineStr">
        <is>
          <t>SM21</t>
        </is>
      </c>
      <c r="G58" s="1" t="inlineStr">
        <is>
          <t>土木学会</t>
        </is>
      </c>
      <c r="H58" s="1" t="inlineStr">
        <is>
          <t>土木学会中国支部研究発表会</t>
        </is>
      </c>
    </row>
    <row r="59">
      <c r="A59" s="11" t="inlineStr">
        <is>
          <t>SM022</t>
        </is>
      </c>
      <c r="F59" s="1" t="inlineStr">
        <is>
          <t>SM022</t>
        </is>
      </c>
      <c r="G59" s="1" t="inlineStr">
        <is>
          <t>施工研修</t>
        </is>
      </c>
      <c r="H59" s="1" t="inlineStr">
        <is>
          <t>BIMCIM施工研修2025（近畿地整－近畿建設協会）</t>
        </is>
      </c>
    </row>
    <row r="60">
      <c r="A60" s="11" t="inlineStr">
        <is>
          <t>SM024</t>
        </is>
      </c>
      <c r="F60" s="1" t="inlineStr">
        <is>
          <t>SM024</t>
        </is>
      </c>
      <c r="G60" s="1" t="inlineStr">
        <is>
          <t>四国研修</t>
        </is>
      </c>
      <c r="H60" s="1" t="inlineStr">
        <is>
          <t>四国ＢIMCIM研修2025</t>
        </is>
      </c>
    </row>
    <row r="61">
      <c r="A61" s="11" t="inlineStr">
        <is>
          <t>SM027</t>
        </is>
      </c>
      <c r="F61" s="1" t="inlineStr">
        <is>
          <t>SM027</t>
        </is>
      </c>
      <c r="G61" s="1" t="inlineStr">
        <is>
          <t>Revitマニュアル</t>
        </is>
      </c>
      <c r="H61" s="1" t="inlineStr">
        <is>
          <t>Revitマニュアル</t>
        </is>
      </c>
    </row>
    <row r="62">
      <c r="A62" s="11" t="inlineStr">
        <is>
          <t>PR04</t>
        </is>
      </c>
      <c r="F62" s="1" t="inlineStr">
        <is>
          <t>PR04</t>
        </is>
      </c>
      <c r="G62" s="1" t="inlineStr">
        <is>
          <t>展示会</t>
        </is>
      </c>
      <c r="H62" s="1" t="inlineStr">
        <is>
          <t>展示会関係</t>
        </is>
      </c>
    </row>
    <row r="63">
      <c r="A63" s="11" t="inlineStr">
        <is>
          <t>PR05</t>
        </is>
      </c>
      <c r="F63" s="1" t="inlineStr">
        <is>
          <t>PR05</t>
        </is>
      </c>
      <c r="G63" s="1" t="inlineStr">
        <is>
          <t>タイムズ</t>
        </is>
      </c>
      <c r="H63" s="1" t="inlineStr">
        <is>
          <t>建設タイムズ広告関係</t>
        </is>
      </c>
    </row>
    <row r="64">
      <c r="A64" s="11" t="n"/>
    </row>
    <row r="65">
      <c r="A65" s="11" t="n"/>
    </row>
    <row r="66">
      <c r="A66" s="11" t="n"/>
    </row>
    <row r="67">
      <c r="A67" s="11" t="n"/>
    </row>
    <row r="68">
      <c r="A68" s="11" t="n"/>
    </row>
    <row r="69">
      <c r="A69" s="11" t="n"/>
    </row>
    <row r="70">
      <c r="A70" s="11" t="n"/>
    </row>
    <row r="71">
      <c r="A71" s="11" t="n"/>
    </row>
    <row r="72">
      <c r="A72" s="11" t="n"/>
    </row>
    <row r="73">
      <c r="A73" s="11" t="n"/>
    </row>
    <row r="74">
      <c r="A74" s="11" t="n"/>
    </row>
    <row r="75">
      <c r="A75" s="11" t="n"/>
    </row>
    <row r="76">
      <c r="A76" s="11" t="n"/>
    </row>
    <row r="77">
      <c r="A77" s="11" t="n"/>
    </row>
    <row r="78">
      <c r="A78" s="11" t="n"/>
    </row>
    <row r="79">
      <c r="A79" s="11" t="n"/>
    </row>
    <row r="80">
      <c r="A80" s="11" t="n"/>
    </row>
    <row r="81">
      <c r="A81" s="11" t="n"/>
    </row>
    <row r="82">
      <c r="A82" s="11" t="n"/>
    </row>
    <row r="83">
      <c r="A83" s="11" t="n"/>
    </row>
    <row r="84">
      <c r="A84" s="11" t="n"/>
    </row>
    <row r="85">
      <c r="A85" s="11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 filterMode="1">
    <outlinePr summaryBelow="1" summaryRight="1"/>
    <pageSetUpPr/>
  </sheetPr>
  <dimension ref="A1:T436"/>
  <sheetViews>
    <sheetView zoomScale="80" zoomScaleNormal="80" workbookViewId="0">
      <pane ySplit="4" topLeftCell="A5" activePane="bottomLeft" state="frozen"/>
      <selection activeCell="K21" sqref="K21"/>
      <selection pane="bottomLeft" activeCell="E38" sqref="E38"/>
    </sheetView>
  </sheetViews>
  <sheetFormatPr baseColWidth="8" defaultRowHeight="18.75"/>
  <cols>
    <col width="6.125" bestFit="1" customWidth="1" style="74" min="1" max="1"/>
    <col width="9" customWidth="1" style="12" min="2" max="2"/>
    <col width="9" customWidth="1" style="12" min="3" max="8"/>
    <col width="9.5" bestFit="1" customWidth="1" style="38" min="9" max="9"/>
    <col width="10.625" bestFit="1" customWidth="1" style="39" min="10" max="10"/>
    <col width="50.125" bestFit="1" customWidth="1" style="38" min="11" max="11"/>
    <col width="9" customWidth="1" style="75" min="12" max="12"/>
    <col width="12.125" bestFit="1" customWidth="1" style="12" min="13" max="13"/>
    <col width="12.125" customWidth="1" style="76" min="14" max="14"/>
    <col width="11" bestFit="1" customWidth="1" style="12" min="15" max="15"/>
    <col width="13" customWidth="1" style="12" min="16" max="16"/>
    <col width="13" bestFit="1" customWidth="1" style="12" min="17" max="17"/>
    <col width="9" customWidth="1" style="77" min="18" max="18"/>
    <col width="9" customWidth="1" style="1" min="19" max="19"/>
    <col width="55.375" bestFit="1" customWidth="1" style="1" min="20" max="20"/>
  </cols>
  <sheetData>
    <row r="1">
      <c r="A1" s="3" t="n">
        <v>26</v>
      </c>
      <c r="B1" s="3" t="inlineStr">
        <is>
          <t>年</t>
        </is>
      </c>
      <c r="C1" s="3" t="n">
        <v>26</v>
      </c>
      <c r="D1" s="3" t="inlineStr">
        <is>
          <t>年</t>
        </is>
      </c>
      <c r="E1" s="3" t="n"/>
      <c r="F1" s="3" t="n"/>
      <c r="G1" s="3" t="n"/>
      <c r="H1" s="21" t="n"/>
      <c r="I1" s="35" t="n"/>
      <c r="J1" s="36" t="n"/>
      <c r="K1" s="36" t="n"/>
      <c r="L1" s="0" t="n"/>
      <c r="M1" s="0" t="n"/>
      <c r="N1" s="0" t="n"/>
      <c r="O1" s="0" t="n"/>
      <c r="P1" s="0" t="n"/>
      <c r="Q1" s="0" t="n"/>
      <c r="R1" s="0" t="n"/>
      <c r="S1" s="0" t="n"/>
      <c r="T1" s="0" t="n"/>
    </row>
    <row r="2">
      <c r="A2" s="3" t="n">
        <v>4</v>
      </c>
      <c r="B2" s="3" t="inlineStr">
        <is>
          <t>月 21日</t>
        </is>
      </c>
      <c r="C2" s="19" t="n">
        <v>5</v>
      </c>
      <c r="D2" s="3" t="inlineStr">
        <is>
          <t>月 20日</t>
        </is>
      </c>
      <c r="E2" s="3" t="n"/>
      <c r="F2" s="3" t="n"/>
      <c r="G2" s="22" t="inlineStr">
        <is>
          <t>※一行すべて選択して削除！！</t>
        </is>
      </c>
      <c r="H2" s="21" t="n"/>
      <c r="I2" s="35" t="n"/>
      <c r="J2" s="36" t="n"/>
      <c r="K2" s="36" t="n"/>
      <c r="L2" s="0" t="n"/>
      <c r="M2" s="0" t="n"/>
      <c r="N2" s="0" t="n"/>
      <c r="O2" s="0" t="n"/>
      <c r="P2" s="0" t="n"/>
      <c r="Q2" s="0" t="n"/>
      <c r="R2" s="0" t="n"/>
      <c r="S2" s="0" t="n"/>
      <c r="T2" s="0" t="n"/>
    </row>
    <row r="3">
      <c r="A3" s="0" t="n"/>
      <c r="B3" s="0" t="n"/>
      <c r="C3" s="0" t="n"/>
      <c r="D3" s="0" t="n"/>
      <c r="E3" s="0" t="n"/>
      <c r="F3" s="0" t="n"/>
      <c r="G3" s="0" t="n"/>
      <c r="H3" s="0" t="n"/>
      <c r="I3" s="36" t="n"/>
      <c r="J3" s="36" t="n"/>
      <c r="K3" s="36" t="n"/>
      <c r="L3" s="0" t="n"/>
      <c r="M3" s="0" t="n"/>
      <c r="N3" s="0" t="n"/>
      <c r="O3" s="0" t="n"/>
      <c r="P3" s="0" t="n"/>
      <c r="Q3" s="0" t="n"/>
      <c r="R3" s="0" t="n"/>
      <c r="S3" s="0" t="n"/>
      <c r="T3" s="0" t="n"/>
    </row>
    <row r="4">
      <c r="A4" s="2" t="inlineStr">
        <is>
          <t>日付</t>
        </is>
      </c>
      <c r="B4" s="2" t="inlineStr">
        <is>
          <t>氏名</t>
        </is>
      </c>
      <c r="C4" s="2" t="inlineStr">
        <is>
          <t>出勤</t>
        </is>
      </c>
      <c r="D4" s="2" t="inlineStr">
        <is>
          <t>退勤</t>
        </is>
      </c>
      <c r="E4" s="2" t="inlineStr">
        <is>
          <t>残業</t>
        </is>
      </c>
      <c r="F4" s="2" t="inlineStr">
        <is>
          <t>開始</t>
        </is>
      </c>
      <c r="G4" s="2" t="inlineStr">
        <is>
          <t>終了</t>
        </is>
      </c>
      <c r="H4" s="2" t="inlineStr">
        <is>
          <t>職種</t>
        </is>
      </c>
      <c r="I4" s="37" t="inlineStr">
        <is>
          <t>区分</t>
        </is>
      </c>
      <c r="J4" s="37" t="inlineStr">
        <is>
          <t>業務名</t>
        </is>
      </c>
      <c r="K4" s="37" t="inlineStr">
        <is>
          <t>詳細</t>
        </is>
      </c>
      <c r="L4" s="2" t="inlineStr">
        <is>
          <t>時間(h)</t>
        </is>
      </c>
      <c r="M4" s="2" t="inlineStr">
        <is>
          <t>ソフト・機材</t>
        </is>
      </c>
      <c r="N4" s="2" t="inlineStr">
        <is>
          <t>料金</t>
        </is>
      </c>
      <c r="O4" s="2" t="inlineStr">
        <is>
          <t>車両</t>
        </is>
      </c>
      <c r="P4" s="2" t="inlineStr">
        <is>
          <t>発</t>
        </is>
      </c>
      <c r="Q4" s="2" t="inlineStr">
        <is>
          <t>着</t>
        </is>
      </c>
      <c r="R4" s="2" t="inlineStr">
        <is>
          <t>距離</t>
        </is>
      </c>
      <c r="S4" s="2" t="inlineStr">
        <is>
          <t>移動方法</t>
        </is>
      </c>
      <c r="T4" s="2" t="inlineStr">
        <is>
          <t>備考</t>
        </is>
      </c>
    </row>
    <row r="5">
      <c r="A5" s="74" t="n">
        <v>46133</v>
      </c>
      <c r="B5" s="12" t="inlineStr">
        <is>
          <t>南</t>
        </is>
      </c>
      <c r="C5" s="20" t="n">
        <v>0.3541666666666667</v>
      </c>
      <c r="D5" s="20" t="n">
        <v>0.7291666666666666</v>
      </c>
      <c r="E5" s="20" t="n">
        <v>0</v>
      </c>
      <c r="F5" s="12" t="inlineStr">
        <is>
          <t>本社</t>
        </is>
      </c>
      <c r="G5" s="12" t="inlineStr">
        <is>
          <t>本社</t>
        </is>
      </c>
      <c r="H5" s="12" t="inlineStr">
        <is>
          <t>助手</t>
        </is>
      </c>
      <c r="I5" s="59" t="inlineStr">
        <is>
          <t>EA156</t>
        </is>
      </c>
      <c r="J5" s="1" t="inlineStr">
        <is>
          <t>R7寺田拡幅</t>
        </is>
      </c>
      <c r="K5" s="38" t="inlineStr">
        <is>
          <t>現地　ガウシアン計測1回目</t>
        </is>
      </c>
      <c r="L5" s="75" t="n">
        <v>8</v>
      </c>
      <c r="M5" s="12" t="inlineStr">
        <is>
          <t>なし</t>
        </is>
      </c>
      <c r="N5" s="76" t="inlineStr">
        <is>
          <t>-</t>
        </is>
      </c>
      <c r="O5" s="12" t="inlineStr">
        <is>
          <t>ハイエース</t>
        </is>
      </c>
      <c r="P5" s="12" t="inlineStr">
        <is>
          <t>本社</t>
        </is>
      </c>
      <c r="Q5" s="12" t="inlineStr">
        <is>
          <t>寺田</t>
        </is>
      </c>
      <c r="R5" s="77" t="n">
        <v>21</v>
      </c>
      <c r="S5" s="1" t="inlineStr">
        <is>
          <t>下道</t>
        </is>
      </c>
    </row>
    <row r="6">
      <c r="A6" s="74" t="n">
        <v>46133</v>
      </c>
      <c r="B6" s="12" t="inlineStr">
        <is>
          <t>内藤</t>
        </is>
      </c>
      <c r="C6" s="20" t="n">
        <v>0.3541666666666667</v>
      </c>
      <c r="D6" s="20" t="n">
        <v>0.7291666666666666</v>
      </c>
      <c r="E6" s="20" t="n">
        <v>0</v>
      </c>
      <c r="F6" s="12" t="inlineStr">
        <is>
          <t>本社</t>
        </is>
      </c>
      <c r="G6" s="12" t="inlineStr">
        <is>
          <t>本社</t>
        </is>
      </c>
      <c r="H6" s="12" t="inlineStr">
        <is>
          <t>助手</t>
        </is>
      </c>
      <c r="I6" s="60" t="inlineStr">
        <is>
          <t>EA156</t>
        </is>
      </c>
      <c r="J6" s="61" t="inlineStr">
        <is>
          <t>R7寺田拡幅</t>
        </is>
      </c>
      <c r="K6" s="38" t="inlineStr">
        <is>
          <t>現地　ガウシアン計測1回目</t>
        </is>
      </c>
      <c r="L6" s="75" t="n">
        <v>8</v>
      </c>
      <c r="M6" s="12" t="inlineStr">
        <is>
          <t>なし</t>
        </is>
      </c>
      <c r="N6" s="76" t="inlineStr">
        <is>
          <t>-</t>
        </is>
      </c>
      <c r="O6" s="12" t="inlineStr">
        <is>
          <t>ハイエース</t>
        </is>
      </c>
      <c r="P6" s="12" t="inlineStr">
        <is>
          <t>本社</t>
        </is>
      </c>
      <c r="Q6" s="12" t="inlineStr">
        <is>
          <t>現場</t>
        </is>
      </c>
      <c r="R6" s="77" t="n">
        <v>20</v>
      </c>
      <c r="S6" s="1" t="inlineStr">
        <is>
          <t>下道</t>
        </is>
      </c>
    </row>
    <row r="7">
      <c r="A7" s="74" t="n">
        <v>46133</v>
      </c>
      <c r="B7" s="12" t="inlineStr">
        <is>
          <t>仲</t>
        </is>
      </c>
      <c r="C7" s="20" t="n">
        <v>0.3541666666666667</v>
      </c>
      <c r="D7" s="20" t="n">
        <v>0.7291666666666666</v>
      </c>
      <c r="E7" s="20" t="n">
        <v>0</v>
      </c>
      <c r="F7" s="12" t="inlineStr">
        <is>
          <t>本社</t>
        </is>
      </c>
      <c r="G7" s="12" t="inlineStr">
        <is>
          <t>本社</t>
        </is>
      </c>
      <c r="H7" s="12" t="inlineStr">
        <is>
          <t>助手</t>
        </is>
      </c>
      <c r="I7" s="59" t="inlineStr">
        <is>
          <t>EA156</t>
        </is>
      </c>
      <c r="J7" s="1" t="inlineStr">
        <is>
          <t>R7寺田拡幅</t>
        </is>
      </c>
      <c r="K7" s="38" t="inlineStr">
        <is>
          <t>現地　ガウシアン計測1回目</t>
        </is>
      </c>
      <c r="L7" s="75" t="n">
        <v>8</v>
      </c>
      <c r="M7" s="12" t="inlineStr">
        <is>
          <t>なし</t>
        </is>
      </c>
      <c r="N7" s="76" t="inlineStr">
        <is>
          <t>-</t>
        </is>
      </c>
      <c r="O7" s="12" t="inlineStr">
        <is>
          <t>なし</t>
        </is>
      </c>
      <c r="P7" s="12" t="inlineStr">
        <is>
          <t>-</t>
        </is>
      </c>
      <c r="Q7" s="12" t="inlineStr">
        <is>
          <t>-</t>
        </is>
      </c>
      <c r="R7" s="77" t="inlineStr">
        <is>
          <t>-</t>
        </is>
      </c>
      <c r="S7" s="1" t="inlineStr">
        <is>
          <t>-</t>
        </is>
      </c>
    </row>
    <row r="8">
      <c r="A8" s="74" t="n">
        <v>46133</v>
      </c>
      <c r="B8" s="12" t="inlineStr">
        <is>
          <t>竹本</t>
        </is>
      </c>
      <c r="C8" s="20" t="n">
        <v>0.3541666666666667</v>
      </c>
      <c r="D8" s="20" t="n">
        <v>0.7291666666666666</v>
      </c>
      <c r="E8" s="20" t="n">
        <v>0</v>
      </c>
      <c r="F8" s="20" t="inlineStr">
        <is>
          <t>現場</t>
        </is>
      </c>
      <c r="G8" s="20" t="inlineStr">
        <is>
          <t>現場</t>
        </is>
      </c>
      <c r="H8" s="12" t="inlineStr">
        <is>
          <t>技師</t>
        </is>
      </c>
      <c r="I8" s="12" t="inlineStr">
        <is>
          <t>EA156</t>
        </is>
      </c>
      <c r="J8" s="12" t="inlineStr">
        <is>
          <t>R7寺田拡幅</t>
        </is>
      </c>
      <c r="K8" s="14" t="inlineStr">
        <is>
          <t>現況調査　ガウシアン　既設基準点確認</t>
        </is>
      </c>
      <c r="L8" s="75" t="n">
        <v>8</v>
      </c>
      <c r="M8" s="12" t="inlineStr">
        <is>
          <t>なし</t>
        </is>
      </c>
      <c r="N8" s="76" t="inlineStr">
        <is>
          <t>-</t>
        </is>
      </c>
      <c r="O8" s="12" t="inlineStr">
        <is>
          <t>なし</t>
        </is>
      </c>
      <c r="P8" s="12" t="inlineStr">
        <is>
          <t>-</t>
        </is>
      </c>
      <c r="Q8" s="12" t="inlineStr">
        <is>
          <t>-</t>
        </is>
      </c>
      <c r="R8" s="77" t="inlineStr">
        <is>
          <t>-</t>
        </is>
      </c>
      <c r="S8" s="1" t="inlineStr">
        <is>
          <t>-</t>
        </is>
      </c>
    </row>
    <row r="9">
      <c r="A9" s="74" t="n">
        <v>46133</v>
      </c>
      <c r="B9" s="12" t="inlineStr">
        <is>
          <t>村上</t>
        </is>
      </c>
      <c r="C9" s="20" t="n">
        <v>0.3541666666666667</v>
      </c>
      <c r="D9" s="20" t="n">
        <v>0.7291666666666666</v>
      </c>
      <c r="E9" s="20" t="n">
        <v>0</v>
      </c>
      <c r="F9" s="12" t="inlineStr">
        <is>
          <t>本社</t>
        </is>
      </c>
      <c r="G9" s="12" t="inlineStr">
        <is>
          <t>本社</t>
        </is>
      </c>
      <c r="H9" s="12" t="inlineStr">
        <is>
          <t>助手</t>
        </is>
      </c>
      <c r="I9" s="38" t="inlineStr">
        <is>
          <t>事務</t>
        </is>
      </c>
      <c r="J9" s="39" t="inlineStr">
        <is>
          <t>事務</t>
        </is>
      </c>
      <c r="K9" s="14" t="inlineStr">
        <is>
          <t>扶養非該当手続き、資格者書郵送、出面表作成、有効期限表更新、メール対応他</t>
        </is>
      </c>
      <c r="L9" s="75" t="n">
        <v>8</v>
      </c>
      <c r="M9" s="12" t="inlineStr">
        <is>
          <t>なし</t>
        </is>
      </c>
      <c r="N9" s="76" t="inlineStr">
        <is>
          <t>-</t>
        </is>
      </c>
      <c r="O9" s="12" t="inlineStr">
        <is>
          <t>なし</t>
        </is>
      </c>
      <c r="P9" s="12" t="inlineStr">
        <is>
          <t>-</t>
        </is>
      </c>
      <c r="Q9" s="12" t="inlineStr">
        <is>
          <t>-</t>
        </is>
      </c>
      <c r="R9" s="77" t="inlineStr">
        <is>
          <t>-</t>
        </is>
      </c>
      <c r="S9" s="1" t="inlineStr">
        <is>
          <t>-</t>
        </is>
      </c>
    </row>
    <row r="10">
      <c r="A10" s="74" t="n">
        <v>46133</v>
      </c>
      <c r="B10" s="12" t="inlineStr">
        <is>
          <t>千原</t>
        </is>
      </c>
      <c r="C10" s="20" t="n">
        <v>0.3541666666666667</v>
      </c>
      <c r="D10" s="20" t="n">
        <v>0.7291666666666666</v>
      </c>
      <c r="E10" s="20" t="n">
        <v>0</v>
      </c>
      <c r="F10" s="12" t="inlineStr">
        <is>
          <t>リモート</t>
        </is>
      </c>
      <c r="G10" s="12" t="inlineStr">
        <is>
          <t>リモート</t>
        </is>
      </c>
      <c r="H10" s="12" t="inlineStr">
        <is>
          <t>助手</t>
        </is>
      </c>
      <c r="I10" s="59" t="inlineStr">
        <is>
          <t>研修</t>
        </is>
      </c>
      <c r="J10" s="1" t="inlineStr">
        <is>
          <t>研修</t>
        </is>
      </c>
      <c r="K10" s="14" t="inlineStr">
        <is>
          <t>Revit操作資料テンプレート作成</t>
        </is>
      </c>
      <c r="L10" s="75" t="n">
        <v>6</v>
      </c>
      <c r="M10" s="12" t="inlineStr">
        <is>
          <t>なし</t>
        </is>
      </c>
      <c r="N10" s="76" t="inlineStr">
        <is>
          <t>-</t>
        </is>
      </c>
      <c r="O10" s="12" t="inlineStr">
        <is>
          <t>なし</t>
        </is>
      </c>
      <c r="P10" s="12" t="inlineStr">
        <is>
          <t>-</t>
        </is>
      </c>
      <c r="Q10" s="12" t="inlineStr">
        <is>
          <t>-</t>
        </is>
      </c>
      <c r="R10" s="77" t="inlineStr">
        <is>
          <t>-</t>
        </is>
      </c>
      <c r="S10" s="1" t="inlineStr">
        <is>
          <t>-</t>
        </is>
      </c>
    </row>
    <row r="11">
      <c r="A11" s="74" t="n">
        <v>46133</v>
      </c>
      <c r="B11" s="12" t="inlineStr">
        <is>
          <t>千原</t>
        </is>
      </c>
      <c r="C11" s="20" t="inlineStr">
        <is>
          <t>-</t>
        </is>
      </c>
      <c r="D11" s="20" t="inlineStr">
        <is>
          <t>-</t>
        </is>
      </c>
      <c r="E11" s="20" t="inlineStr">
        <is>
          <t>-</t>
        </is>
      </c>
      <c r="F11" s="12" t="inlineStr">
        <is>
          <t>-</t>
        </is>
      </c>
      <c r="G11" s="12" t="inlineStr">
        <is>
          <t>-</t>
        </is>
      </c>
      <c r="H11" s="12" t="inlineStr">
        <is>
          <t>助手</t>
        </is>
      </c>
      <c r="I11" s="59" t="inlineStr">
        <is>
          <t>EA45</t>
        </is>
      </c>
      <c r="J11" s="1" t="inlineStr">
        <is>
          <t>北陸</t>
        </is>
      </c>
      <c r="K11" s="14" t="inlineStr">
        <is>
          <t>日本ピーエス掲載資料作成（完了）</t>
        </is>
      </c>
      <c r="L11" s="75" t="n">
        <v>2</v>
      </c>
      <c r="M11" s="12" t="inlineStr">
        <is>
          <t>なし</t>
        </is>
      </c>
      <c r="N11" s="76" t="inlineStr">
        <is>
          <t>-</t>
        </is>
      </c>
      <c r="O11" s="12" t="inlineStr">
        <is>
          <t>なし</t>
        </is>
      </c>
      <c r="P11" s="12" t="inlineStr">
        <is>
          <t>-</t>
        </is>
      </c>
      <c r="Q11" s="12" t="inlineStr">
        <is>
          <t>-</t>
        </is>
      </c>
      <c r="R11" s="77" t="inlineStr">
        <is>
          <t>-</t>
        </is>
      </c>
      <c r="S11" s="1" t="inlineStr">
        <is>
          <t>-</t>
        </is>
      </c>
    </row>
    <row r="12">
      <c r="A12" s="74" t="n">
        <v>46133</v>
      </c>
      <c r="B12" s="12" t="inlineStr">
        <is>
          <t>人見</t>
        </is>
      </c>
      <c r="C12" s="20" t="n">
        <v>0.3541666666666667</v>
      </c>
      <c r="D12" s="20" t="n">
        <v>0.7291666666666666</v>
      </c>
      <c r="E12" s="20" t="n">
        <v>0</v>
      </c>
      <c r="F12" s="12" t="inlineStr">
        <is>
          <t>本社</t>
        </is>
      </c>
      <c r="G12" s="12" t="inlineStr">
        <is>
          <t>本社</t>
        </is>
      </c>
      <c r="H12" s="12" t="inlineStr">
        <is>
          <t>助手</t>
        </is>
      </c>
      <c r="I12" s="12" t="inlineStr">
        <is>
          <t>PR04</t>
        </is>
      </c>
      <c r="J12" s="12" t="inlineStr">
        <is>
          <t>展示会</t>
        </is>
      </c>
      <c r="K12" s="14" t="inlineStr">
        <is>
          <t>第一回空間情報デジタルツインカンファレンス参加</t>
        </is>
      </c>
      <c r="L12" s="75" t="n">
        <v>5</v>
      </c>
      <c r="M12" s="12" t="inlineStr">
        <is>
          <t>なし</t>
        </is>
      </c>
      <c r="N12" s="76" t="inlineStr">
        <is>
          <t>-</t>
        </is>
      </c>
      <c r="O12" s="12" t="inlineStr">
        <is>
          <t>ステップワゴン</t>
        </is>
      </c>
      <c r="P12" s="12" t="inlineStr">
        <is>
          <t>寮</t>
        </is>
      </c>
      <c r="Q12" s="12" t="inlineStr">
        <is>
          <t>会場</t>
        </is>
      </c>
      <c r="R12" s="77" t="n">
        <v>47.2</v>
      </c>
      <c r="S12" s="1" t="inlineStr">
        <is>
          <t>高速</t>
        </is>
      </c>
    </row>
    <row r="13">
      <c r="A13" s="74" t="n">
        <v>46133</v>
      </c>
      <c r="B13" s="12" t="inlineStr">
        <is>
          <t>人見</t>
        </is>
      </c>
      <c r="C13" s="20" t="inlineStr">
        <is>
          <t>-</t>
        </is>
      </c>
      <c r="D13" s="20" t="inlineStr">
        <is>
          <t>-</t>
        </is>
      </c>
      <c r="E13" s="20" t="inlineStr">
        <is>
          <t>-</t>
        </is>
      </c>
      <c r="F13" s="12" t="inlineStr">
        <is>
          <t>-</t>
        </is>
      </c>
      <c r="G13" s="12" t="inlineStr">
        <is>
          <t>-</t>
        </is>
      </c>
      <c r="H13" s="12" t="inlineStr">
        <is>
          <t>助手</t>
        </is>
      </c>
      <c r="I13" s="38" t="inlineStr">
        <is>
          <t>開発</t>
        </is>
      </c>
      <c r="J13" s="39" t="inlineStr">
        <is>
          <t>開発関係</t>
        </is>
      </c>
      <c r="K13" s="14" t="inlineStr">
        <is>
          <t>VPNの学習</t>
        </is>
      </c>
      <c r="L13" s="75" t="n">
        <v>3</v>
      </c>
      <c r="M13" s="12" t="inlineStr">
        <is>
          <t>なし</t>
        </is>
      </c>
      <c r="N13" s="76" t="inlineStr">
        <is>
          <t>-</t>
        </is>
      </c>
      <c r="O13" s="12" t="inlineStr">
        <is>
          <t>なし</t>
        </is>
      </c>
      <c r="P13" s="12" t="inlineStr">
        <is>
          <t>-</t>
        </is>
      </c>
      <c r="Q13" s="12" t="inlineStr">
        <is>
          <t>-</t>
        </is>
      </c>
      <c r="R13" s="77" t="inlineStr">
        <is>
          <t>-</t>
        </is>
      </c>
      <c r="S13" s="1" t="inlineStr">
        <is>
          <t>-</t>
        </is>
      </c>
    </row>
    <row r="14">
      <c r="A14" s="74" t="n">
        <v>46133</v>
      </c>
      <c r="B14" s="12" t="inlineStr">
        <is>
          <t>金本</t>
        </is>
      </c>
      <c r="C14" s="20" t="n">
        <v>0.3541666666666667</v>
      </c>
      <c r="D14" s="20" t="n">
        <v>0.7291666666666666</v>
      </c>
      <c r="E14" s="20" t="n">
        <v>0</v>
      </c>
      <c r="F14" s="12" t="inlineStr">
        <is>
          <t>本社</t>
        </is>
      </c>
      <c r="G14" s="12" t="inlineStr">
        <is>
          <t>本社</t>
        </is>
      </c>
      <c r="H14" s="12" t="inlineStr">
        <is>
          <t>助手</t>
        </is>
      </c>
      <c r="I14" s="12" t="inlineStr">
        <is>
          <t>研修</t>
        </is>
      </c>
      <c r="J14" s="12" t="inlineStr">
        <is>
          <t>研修</t>
        </is>
      </c>
      <c r="K14" s="14" t="inlineStr">
        <is>
          <t>明日の社内CAD講習の準備</t>
        </is>
      </c>
      <c r="L14" s="75" t="n">
        <v>3</v>
      </c>
      <c r="M14" s="12" t="inlineStr">
        <is>
          <t>なし</t>
        </is>
      </c>
      <c r="N14" s="76" t="inlineStr">
        <is>
          <t>-</t>
        </is>
      </c>
      <c r="O14" s="12" t="inlineStr">
        <is>
          <t>なし</t>
        </is>
      </c>
      <c r="P14" s="12" t="inlineStr">
        <is>
          <t>-</t>
        </is>
      </c>
      <c r="Q14" s="12" t="inlineStr">
        <is>
          <t>-</t>
        </is>
      </c>
      <c r="R14" s="77" t="inlineStr">
        <is>
          <t>-</t>
        </is>
      </c>
      <c r="S14" s="1" t="inlineStr">
        <is>
          <t>-</t>
        </is>
      </c>
    </row>
    <row r="15">
      <c r="A15" s="74" t="n">
        <v>46133</v>
      </c>
      <c r="B15" s="12" t="inlineStr">
        <is>
          <t>金本</t>
        </is>
      </c>
      <c r="C15" s="20" t="inlineStr">
        <is>
          <t>-</t>
        </is>
      </c>
      <c r="D15" s="20" t="inlineStr">
        <is>
          <t>-</t>
        </is>
      </c>
      <c r="E15" s="20" t="inlineStr">
        <is>
          <t>-</t>
        </is>
      </c>
      <c r="F15" s="12" t="inlineStr">
        <is>
          <t>-</t>
        </is>
      </c>
      <c r="G15" s="12" t="inlineStr">
        <is>
          <t>-</t>
        </is>
      </c>
      <c r="H15" s="12" t="inlineStr">
        <is>
          <t>助手</t>
        </is>
      </c>
      <c r="I15" s="59" t="inlineStr">
        <is>
          <t>営業</t>
        </is>
      </c>
      <c r="J15" s="1" t="inlineStr">
        <is>
          <t>営業</t>
        </is>
      </c>
      <c r="K15" s="14" t="inlineStr">
        <is>
          <t>錢高 中島さん、鳥居水門 玉井さん、などのメール対応</t>
        </is>
      </c>
      <c r="L15" s="75" t="n">
        <v>1</v>
      </c>
      <c r="M15" s="12" t="inlineStr">
        <is>
          <t>なし</t>
        </is>
      </c>
      <c r="N15" s="76" t="inlineStr">
        <is>
          <t>-</t>
        </is>
      </c>
      <c r="O15" s="12" t="inlineStr">
        <is>
          <t>なし</t>
        </is>
      </c>
      <c r="P15" s="12" t="inlineStr">
        <is>
          <t>-</t>
        </is>
      </c>
      <c r="Q15" s="12" t="inlineStr">
        <is>
          <t>-</t>
        </is>
      </c>
      <c r="R15" s="77" t="inlineStr">
        <is>
          <t>-</t>
        </is>
      </c>
      <c r="S15" s="1" t="inlineStr">
        <is>
          <t>-</t>
        </is>
      </c>
    </row>
    <row r="16">
      <c r="A16" s="74" t="n">
        <v>46133</v>
      </c>
      <c r="B16" s="12" t="inlineStr">
        <is>
          <t>金本</t>
        </is>
      </c>
      <c r="C16" s="20" t="inlineStr">
        <is>
          <t>-</t>
        </is>
      </c>
      <c r="D16" s="20" t="inlineStr">
        <is>
          <t>-</t>
        </is>
      </c>
      <c r="E16" s="20" t="inlineStr">
        <is>
          <t>-</t>
        </is>
      </c>
      <c r="F16" s="12" t="inlineStr">
        <is>
          <t>-</t>
        </is>
      </c>
      <c r="G16" s="12" t="inlineStr">
        <is>
          <t>-</t>
        </is>
      </c>
      <c r="H16" s="12" t="inlineStr">
        <is>
          <t>助手</t>
        </is>
      </c>
      <c r="I16" s="59" t="inlineStr">
        <is>
          <t>EA105</t>
        </is>
      </c>
      <c r="J16" s="1" t="inlineStr">
        <is>
          <t>鳥居水門</t>
        </is>
      </c>
      <c r="K16" s="14" t="inlineStr">
        <is>
          <t>BIMCIMフォルダの作成</t>
        </is>
      </c>
      <c r="L16" s="75" t="n">
        <v>4</v>
      </c>
      <c r="M16" s="12" t="inlineStr">
        <is>
          <t>なし</t>
        </is>
      </c>
      <c r="N16" s="76" t="inlineStr">
        <is>
          <t>-</t>
        </is>
      </c>
      <c r="O16" s="12" t="inlineStr">
        <is>
          <t>なし</t>
        </is>
      </c>
      <c r="P16" s="12" t="inlineStr">
        <is>
          <t>-</t>
        </is>
      </c>
      <c r="Q16" s="12" t="inlineStr">
        <is>
          <t>-</t>
        </is>
      </c>
      <c r="R16" s="77" t="inlineStr">
        <is>
          <t>-</t>
        </is>
      </c>
      <c r="S16" s="1" t="inlineStr">
        <is>
          <t>-</t>
        </is>
      </c>
    </row>
    <row r="17">
      <c r="A17" s="74" t="n">
        <v>46133</v>
      </c>
      <c r="B17" s="12" t="inlineStr">
        <is>
          <t>フック</t>
        </is>
      </c>
      <c r="C17" s="20" t="n">
        <v>0.3541666666666667</v>
      </c>
      <c r="D17" s="20" t="n">
        <v>0.7291666666666666</v>
      </c>
      <c r="E17" s="20" t="n">
        <v>0</v>
      </c>
      <c r="F17" s="12" t="inlineStr">
        <is>
          <t>本社</t>
        </is>
      </c>
      <c r="G17" s="12" t="inlineStr">
        <is>
          <t>本社</t>
        </is>
      </c>
      <c r="H17" s="12" t="inlineStr">
        <is>
          <t>助手</t>
        </is>
      </c>
      <c r="I17" s="12" t="inlineStr">
        <is>
          <t>研修</t>
        </is>
      </c>
      <c r="J17" s="12" t="inlineStr">
        <is>
          <t>研修</t>
        </is>
      </c>
      <c r="K17" s="14" t="inlineStr">
        <is>
          <t>明日の社内CAD講習の準備</t>
        </is>
      </c>
      <c r="L17" s="75" t="n">
        <v>3</v>
      </c>
      <c r="M17" s="12" t="inlineStr">
        <is>
          <t>なし</t>
        </is>
      </c>
      <c r="N17" s="76" t="inlineStr">
        <is>
          <t>-</t>
        </is>
      </c>
      <c r="O17" s="12" t="inlineStr">
        <is>
          <t>なし</t>
        </is>
      </c>
      <c r="P17" s="12" t="inlineStr">
        <is>
          <t>-</t>
        </is>
      </c>
      <c r="Q17" s="12" t="inlineStr">
        <is>
          <t>-</t>
        </is>
      </c>
      <c r="R17" s="77" t="inlineStr">
        <is>
          <t>-</t>
        </is>
      </c>
      <c r="S17" s="1" t="inlineStr">
        <is>
          <t>-</t>
        </is>
      </c>
    </row>
    <row r="18">
      <c r="A18" s="74" t="n">
        <v>46133</v>
      </c>
      <c r="B18" s="12" t="inlineStr">
        <is>
          <t>フック</t>
        </is>
      </c>
      <c r="C18" s="20" t="inlineStr">
        <is>
          <t>-</t>
        </is>
      </c>
      <c r="D18" s="20" t="inlineStr">
        <is>
          <t>-</t>
        </is>
      </c>
      <c r="E18" s="20" t="inlineStr">
        <is>
          <t>-</t>
        </is>
      </c>
      <c r="F18" s="12" t="inlineStr">
        <is>
          <t>-</t>
        </is>
      </c>
      <c r="G18" s="12" t="inlineStr">
        <is>
          <t>-</t>
        </is>
      </c>
      <c r="H18" s="12" t="inlineStr">
        <is>
          <t>助手</t>
        </is>
      </c>
      <c r="I18" s="12" t="inlineStr">
        <is>
          <t>RD28</t>
        </is>
      </c>
      <c r="J18" s="12" t="inlineStr">
        <is>
          <t>小型ドローン</t>
        </is>
      </c>
      <c r="K18" s="14" t="inlineStr">
        <is>
          <t>小型ドローンモデル作成</t>
        </is>
      </c>
      <c r="L18" s="75" t="n">
        <v>5</v>
      </c>
      <c r="M18" s="12" t="inlineStr">
        <is>
          <t>AUTODESK</t>
        </is>
      </c>
      <c r="N18" s="76" t="n">
        <v>1750</v>
      </c>
      <c r="O18" s="12" t="inlineStr">
        <is>
          <t>なし</t>
        </is>
      </c>
      <c r="P18" s="12" t="inlineStr">
        <is>
          <t>-</t>
        </is>
      </c>
      <c r="Q18" s="12" t="inlineStr">
        <is>
          <t>-</t>
        </is>
      </c>
      <c r="R18" s="77" t="inlineStr">
        <is>
          <t>-</t>
        </is>
      </c>
      <c r="S18" s="1" t="inlineStr">
        <is>
          <t>-</t>
        </is>
      </c>
      <c r="T18" s="1" t="inlineStr">
        <is>
          <t>会場：NLC新大阪８号館、〒532-0011 大阪府大阪市淀川区西中島３丁目９−１３</t>
        </is>
      </c>
    </row>
    <row r="19">
      <c r="A19" s="74" t="n">
        <v>46133</v>
      </c>
      <c r="B19" s="12" t="inlineStr">
        <is>
          <t>バタイ</t>
        </is>
      </c>
      <c r="C19" s="20" t="n">
        <v>0.3125</v>
      </c>
      <c r="D19" s="20" t="n">
        <v>0.7083333333333334</v>
      </c>
      <c r="E19" s="20" t="n">
        <v>0.02083333333333333</v>
      </c>
      <c r="F19" s="20" t="inlineStr">
        <is>
          <t>本社</t>
        </is>
      </c>
      <c r="G19" s="20" t="inlineStr">
        <is>
          <t>本社</t>
        </is>
      </c>
      <c r="H19" s="12" t="inlineStr">
        <is>
          <t>助手</t>
        </is>
      </c>
      <c r="I19" s="59" t="inlineStr">
        <is>
          <t>研修</t>
        </is>
      </c>
      <c r="J19" s="1" t="inlineStr">
        <is>
          <t>研修</t>
        </is>
      </c>
      <c r="K19" s="14" t="inlineStr">
        <is>
          <t>REVITの資料作成</t>
        </is>
      </c>
      <c r="L19" s="75" t="n">
        <v>8</v>
      </c>
      <c r="M19" s="12" t="inlineStr">
        <is>
          <t>なし</t>
        </is>
      </c>
      <c r="N19" s="76" t="inlineStr">
        <is>
          <t>-</t>
        </is>
      </c>
      <c r="O19" s="12" t="inlineStr">
        <is>
          <t>なし</t>
        </is>
      </c>
      <c r="P19" s="12" t="inlineStr">
        <is>
          <t>-</t>
        </is>
      </c>
      <c r="Q19" s="12" t="inlineStr">
        <is>
          <t>-</t>
        </is>
      </c>
      <c r="R19" s="77" t="inlineStr">
        <is>
          <t>-</t>
        </is>
      </c>
      <c r="S19" s="1" t="inlineStr">
        <is>
          <t>-</t>
        </is>
      </c>
    </row>
    <row r="20" hidden="1" s="79">
      <c r="A20" s="74" t="n">
        <v>46134</v>
      </c>
      <c r="B20" s="12" t="inlineStr">
        <is>
          <t>村上</t>
        </is>
      </c>
      <c r="C20" s="20" t="n">
        <v>0.3541666666666667</v>
      </c>
      <c r="D20" s="20" t="n">
        <v>0.7291666666666666</v>
      </c>
      <c r="E20" s="20" t="n">
        <v>0</v>
      </c>
      <c r="F20" s="12" t="inlineStr">
        <is>
          <t>本社</t>
        </is>
      </c>
      <c r="G20" s="12" t="inlineStr">
        <is>
          <t>本社</t>
        </is>
      </c>
      <c r="H20" s="12" t="inlineStr">
        <is>
          <t>助手</t>
        </is>
      </c>
      <c r="I20" s="1" t="inlineStr">
        <is>
          <t>事務</t>
        </is>
      </c>
      <c r="J20" s="1" t="inlineStr">
        <is>
          <t>事務</t>
        </is>
      </c>
      <c r="K20" s="14" t="inlineStr">
        <is>
          <t>20日締め出面作成、CPDS提出写真撮影、扶養非該当手続き、メール対応他</t>
        </is>
      </c>
      <c r="L20" s="75" t="n">
        <v>7</v>
      </c>
      <c r="M20" s="12" t="inlineStr">
        <is>
          <t>なし</t>
        </is>
      </c>
      <c r="N20" s="76" t="inlineStr">
        <is>
          <t>-</t>
        </is>
      </c>
      <c r="O20" s="12" t="inlineStr">
        <is>
          <t>なし</t>
        </is>
      </c>
      <c r="P20" s="12" t="inlineStr">
        <is>
          <t>-</t>
        </is>
      </c>
      <c r="Q20" s="12" t="inlineStr">
        <is>
          <t>-</t>
        </is>
      </c>
      <c r="R20" s="77" t="inlineStr">
        <is>
          <t>-</t>
        </is>
      </c>
      <c r="S20" s="1" t="inlineStr">
        <is>
          <t>-</t>
        </is>
      </c>
    </row>
    <row r="21" hidden="1" s="79">
      <c r="A21" s="74" t="n">
        <v>46134</v>
      </c>
      <c r="B21" s="12" t="inlineStr">
        <is>
          <t>村上</t>
        </is>
      </c>
      <c r="C21" s="20" t="inlineStr">
        <is>
          <t>-</t>
        </is>
      </c>
      <c r="D21" s="20" t="inlineStr">
        <is>
          <t>-</t>
        </is>
      </c>
      <c r="E21" s="20" t="inlineStr">
        <is>
          <t>-</t>
        </is>
      </c>
      <c r="F21" s="12" t="inlineStr">
        <is>
          <t>-</t>
        </is>
      </c>
      <c r="G21" s="12" t="inlineStr">
        <is>
          <t>-</t>
        </is>
      </c>
      <c r="H21" s="12" t="inlineStr">
        <is>
          <t>助手</t>
        </is>
      </c>
      <c r="I21" s="59" t="inlineStr">
        <is>
          <t>営業</t>
        </is>
      </c>
      <c r="J21" s="1" t="inlineStr">
        <is>
          <t>営業</t>
        </is>
      </c>
      <c r="K21" s="14" t="inlineStr">
        <is>
          <t>京都産業21来社</t>
        </is>
      </c>
      <c r="L21" s="75" t="n">
        <v>1</v>
      </c>
      <c r="M21" s="12" t="inlineStr">
        <is>
          <t>なし</t>
        </is>
      </c>
      <c r="N21" s="76" t="inlineStr">
        <is>
          <t>-</t>
        </is>
      </c>
      <c r="O21" s="12" t="inlineStr">
        <is>
          <t>なし</t>
        </is>
      </c>
      <c r="P21" s="12" t="inlineStr">
        <is>
          <t>-</t>
        </is>
      </c>
      <c r="Q21" s="12" t="inlineStr">
        <is>
          <t>-</t>
        </is>
      </c>
      <c r="R21" s="77" t="inlineStr">
        <is>
          <t>-</t>
        </is>
      </c>
      <c r="S21" s="1" t="inlineStr">
        <is>
          <t>-</t>
        </is>
      </c>
    </row>
    <row r="22" hidden="1" s="79">
      <c r="A22" s="74" t="n">
        <v>46134</v>
      </c>
      <c r="B22" s="12" t="inlineStr">
        <is>
          <t>天野</t>
        </is>
      </c>
      <c r="C22" s="20" t="n">
        <v>0.3541666666666667</v>
      </c>
      <c r="D22" s="20" t="n">
        <v>0.7291666666666666</v>
      </c>
      <c r="E22" s="20" t="n">
        <v>0</v>
      </c>
      <c r="F22" s="12" t="inlineStr">
        <is>
          <t>本社</t>
        </is>
      </c>
      <c r="G22" s="12" t="inlineStr">
        <is>
          <t>本社</t>
        </is>
      </c>
      <c r="H22" s="12" t="inlineStr">
        <is>
          <t>助手</t>
        </is>
      </c>
      <c r="I22" s="59" t="inlineStr">
        <is>
          <t>EA134</t>
        </is>
      </c>
      <c r="J22" s="1" t="inlineStr">
        <is>
          <t>教材作成</t>
        </is>
      </c>
      <c r="K22" s="14" t="inlineStr">
        <is>
          <t>Revit資料の添削</t>
        </is>
      </c>
      <c r="L22" s="75" t="n">
        <v>8</v>
      </c>
      <c r="M22" s="12" t="inlineStr">
        <is>
          <t>AUTODESK</t>
        </is>
      </c>
      <c r="N22" s="76" t="n">
        <v>1750</v>
      </c>
      <c r="O22" s="12" t="inlineStr">
        <is>
          <t>なし</t>
        </is>
      </c>
      <c r="P22" s="12" t="inlineStr">
        <is>
          <t>-</t>
        </is>
      </c>
      <c r="Q22" s="12" t="inlineStr">
        <is>
          <t>-</t>
        </is>
      </c>
      <c r="R22" s="77" t="inlineStr">
        <is>
          <t>-</t>
        </is>
      </c>
      <c r="S22" s="1" t="inlineStr">
        <is>
          <t>-</t>
        </is>
      </c>
    </row>
    <row r="23">
      <c r="A23" s="74" t="n">
        <v>46133</v>
      </c>
      <c r="B23" s="12" t="inlineStr">
        <is>
          <t>タイ</t>
        </is>
      </c>
      <c r="C23" s="20" t="n">
        <v>0.3541666666666667</v>
      </c>
      <c r="D23" s="20" t="n">
        <v>0.7291666666666666</v>
      </c>
      <c r="E23" s="20" t="n">
        <v>0</v>
      </c>
      <c r="F23" s="12" t="inlineStr">
        <is>
          <t>本社</t>
        </is>
      </c>
      <c r="G23" s="12" t="inlineStr">
        <is>
          <t>本社</t>
        </is>
      </c>
      <c r="H23" s="12" t="inlineStr">
        <is>
          <t>助手</t>
        </is>
      </c>
      <c r="I23" s="38" t="inlineStr">
        <is>
          <t>EA156</t>
        </is>
      </c>
      <c r="J23" s="39" t="inlineStr">
        <is>
          <t>R7寺田拡幅</t>
        </is>
      </c>
      <c r="K23" s="14" t="inlineStr">
        <is>
          <t>寺田拡幅交差点の3Dモデル作成</t>
        </is>
      </c>
      <c r="L23" s="75" t="n">
        <v>8</v>
      </c>
      <c r="M23" s="12" t="inlineStr">
        <is>
          <t>AUTODESK</t>
        </is>
      </c>
      <c r="N23" s="76" t="n">
        <v>1750</v>
      </c>
      <c r="O23" s="12" t="inlineStr">
        <is>
          <t>なし</t>
        </is>
      </c>
      <c r="P23" s="12" t="inlineStr">
        <is>
          <t>-</t>
        </is>
      </c>
      <c r="Q23" s="12" t="inlineStr">
        <is>
          <t>-</t>
        </is>
      </c>
      <c r="R23" s="77" t="inlineStr">
        <is>
          <t>-</t>
        </is>
      </c>
      <c r="S23" s="1" t="inlineStr">
        <is>
          <t>-</t>
        </is>
      </c>
    </row>
    <row r="24" hidden="1" s="79">
      <c r="A24" s="74" t="n">
        <v>46134</v>
      </c>
      <c r="B24" s="12" t="inlineStr">
        <is>
          <t>内藤</t>
        </is>
      </c>
      <c r="C24" s="20" t="n">
        <v>0.3541666666666667</v>
      </c>
      <c r="D24" s="20" t="n">
        <v>0.7291666666666666</v>
      </c>
      <c r="E24" s="20" t="n">
        <v>0</v>
      </c>
      <c r="F24" s="12" t="inlineStr">
        <is>
          <t>本社</t>
        </is>
      </c>
      <c r="G24" s="12" t="inlineStr">
        <is>
          <t>本社</t>
        </is>
      </c>
      <c r="H24" s="12" t="inlineStr">
        <is>
          <t>助手</t>
        </is>
      </c>
      <c r="I24" s="1" t="inlineStr">
        <is>
          <t>VT01</t>
        </is>
      </c>
      <c r="J24" s="1" t="inlineStr">
        <is>
          <t>駐在所</t>
        </is>
      </c>
      <c r="K24" s="14" t="inlineStr">
        <is>
          <t>ベトナムオンライン</t>
        </is>
      </c>
      <c r="L24" s="75" t="n">
        <v>0.5</v>
      </c>
      <c r="M24" s="12" t="inlineStr">
        <is>
          <t>なし</t>
        </is>
      </c>
      <c r="N24" s="76" t="inlineStr">
        <is>
          <t>-</t>
        </is>
      </c>
      <c r="O24" s="12" t="inlineStr">
        <is>
          <t>なし</t>
        </is>
      </c>
      <c r="P24" s="12" t="inlineStr">
        <is>
          <t>-</t>
        </is>
      </c>
      <c r="Q24" s="12" t="inlineStr">
        <is>
          <t>-</t>
        </is>
      </c>
      <c r="R24" s="77" t="inlineStr">
        <is>
          <t>-</t>
        </is>
      </c>
      <c r="S24" s="1" t="inlineStr">
        <is>
          <t>-</t>
        </is>
      </c>
    </row>
    <row r="25" hidden="1" s="79">
      <c r="A25" s="74" t="n">
        <v>46134</v>
      </c>
      <c r="B25" s="12" t="inlineStr">
        <is>
          <t>内藤</t>
        </is>
      </c>
      <c r="C25" s="20" t="inlineStr">
        <is>
          <t>-</t>
        </is>
      </c>
      <c r="D25" s="20" t="inlineStr">
        <is>
          <t>-</t>
        </is>
      </c>
      <c r="E25" s="20" t="inlineStr">
        <is>
          <t>-</t>
        </is>
      </c>
      <c r="F25" s="12" t="inlineStr">
        <is>
          <t>-</t>
        </is>
      </c>
      <c r="G25" s="12" t="inlineStr">
        <is>
          <t>-</t>
        </is>
      </c>
      <c r="H25" s="12" t="inlineStr">
        <is>
          <t>助手</t>
        </is>
      </c>
      <c r="I25" s="59" t="inlineStr">
        <is>
          <t>EA105</t>
        </is>
      </c>
      <c r="J25" s="1" t="inlineStr">
        <is>
          <t>鳥居水門</t>
        </is>
      </c>
      <c r="K25" s="14" t="inlineStr">
        <is>
          <t>BIM/CIMフォルダ(港湾編)の作成および付属資料の作成</t>
        </is>
      </c>
      <c r="L25" s="75" t="n">
        <v>6</v>
      </c>
      <c r="M25" s="12" t="inlineStr">
        <is>
          <t>AUTODESK</t>
        </is>
      </c>
      <c r="N25" s="76" t="n">
        <v>1750</v>
      </c>
      <c r="O25" s="12" t="inlineStr">
        <is>
          <t>なし</t>
        </is>
      </c>
      <c r="P25" s="12" t="inlineStr">
        <is>
          <t>-</t>
        </is>
      </c>
      <c r="Q25" s="12" t="inlineStr">
        <is>
          <t>-</t>
        </is>
      </c>
      <c r="R25" s="77" t="inlineStr">
        <is>
          <t>-</t>
        </is>
      </c>
      <c r="S25" s="1" t="inlineStr">
        <is>
          <t>-</t>
        </is>
      </c>
    </row>
    <row r="26" hidden="1" s="79">
      <c r="A26" s="74" t="n">
        <v>46134</v>
      </c>
      <c r="B26" s="12" t="inlineStr">
        <is>
          <t>内藤</t>
        </is>
      </c>
      <c r="C26" s="20" t="inlineStr">
        <is>
          <t>-</t>
        </is>
      </c>
      <c r="D26" s="20" t="inlineStr">
        <is>
          <t>-</t>
        </is>
      </c>
      <c r="E26" s="20" t="inlineStr">
        <is>
          <t>-</t>
        </is>
      </c>
      <c r="F26" s="12" t="inlineStr">
        <is>
          <t>-</t>
        </is>
      </c>
      <c r="G26" s="12" t="inlineStr">
        <is>
          <t>-</t>
        </is>
      </c>
      <c r="H26" s="12" t="inlineStr">
        <is>
          <t>助手</t>
        </is>
      </c>
      <c r="I26" s="59" t="inlineStr">
        <is>
          <t>EA156</t>
        </is>
      </c>
      <c r="J26" s="1" t="inlineStr">
        <is>
          <t>R7寺田拡幅</t>
        </is>
      </c>
      <c r="K26" s="14" t="inlineStr">
        <is>
          <t>ガウシアン　解析データの確認</t>
        </is>
      </c>
      <c r="L26" s="75" t="n">
        <v>0.5</v>
      </c>
      <c r="M26" s="12" t="inlineStr">
        <is>
          <t>なし</t>
        </is>
      </c>
      <c r="N26" s="76" t="inlineStr">
        <is>
          <t>-</t>
        </is>
      </c>
      <c r="O26" s="12" t="inlineStr">
        <is>
          <t>なし</t>
        </is>
      </c>
      <c r="P26" s="12" t="inlineStr">
        <is>
          <t>-</t>
        </is>
      </c>
      <c r="Q26" s="12" t="inlineStr">
        <is>
          <t>-</t>
        </is>
      </c>
      <c r="R26" s="77" t="inlineStr">
        <is>
          <t>-</t>
        </is>
      </c>
      <c r="S26" s="1" t="inlineStr">
        <is>
          <t>-</t>
        </is>
      </c>
    </row>
    <row r="27" hidden="1" s="79">
      <c r="A27" s="74" t="n">
        <v>46134</v>
      </c>
      <c r="B27" s="12" t="inlineStr">
        <is>
          <t>内藤</t>
        </is>
      </c>
      <c r="C27" s="20" t="inlineStr">
        <is>
          <t>-</t>
        </is>
      </c>
      <c r="D27" s="20" t="inlineStr">
        <is>
          <t>-</t>
        </is>
      </c>
      <c r="E27" s="20" t="inlineStr">
        <is>
          <t>-</t>
        </is>
      </c>
      <c r="F27" s="12" t="inlineStr">
        <is>
          <t>-</t>
        </is>
      </c>
      <c r="G27" s="12" t="inlineStr">
        <is>
          <t>-</t>
        </is>
      </c>
      <c r="H27" s="12" t="inlineStr">
        <is>
          <t>助手</t>
        </is>
      </c>
      <c r="I27" s="59" t="inlineStr">
        <is>
          <t>EA157</t>
        </is>
      </c>
      <c r="J27" s="1" t="inlineStr">
        <is>
          <t>蛙ヶ谷基準点</t>
        </is>
      </c>
      <c r="K27" s="14" t="inlineStr">
        <is>
          <t>現地計測の日程調整</t>
        </is>
      </c>
      <c r="L27" s="75" t="n">
        <v>0.5</v>
      </c>
      <c r="M27" s="12" t="inlineStr">
        <is>
          <t>なし</t>
        </is>
      </c>
      <c r="N27" s="76" t="inlineStr">
        <is>
          <t>-</t>
        </is>
      </c>
      <c r="O27" s="12" t="inlineStr">
        <is>
          <t>なし</t>
        </is>
      </c>
      <c r="P27" s="12" t="inlineStr">
        <is>
          <t>-</t>
        </is>
      </c>
      <c r="Q27" s="12" t="inlineStr">
        <is>
          <t>-</t>
        </is>
      </c>
      <c r="R27" s="77" t="inlineStr">
        <is>
          <t>-</t>
        </is>
      </c>
      <c r="S27" s="1" t="inlineStr">
        <is>
          <t>-</t>
        </is>
      </c>
    </row>
    <row r="28" hidden="1" s="79">
      <c r="A28" s="74" t="n">
        <v>46134</v>
      </c>
      <c r="B28" s="12" t="inlineStr">
        <is>
          <t>内藤</t>
        </is>
      </c>
      <c r="C28" s="20" t="inlineStr">
        <is>
          <t>-</t>
        </is>
      </c>
      <c r="D28" s="20" t="inlineStr">
        <is>
          <t>-</t>
        </is>
      </c>
      <c r="E28" s="20" t="inlineStr">
        <is>
          <t>-</t>
        </is>
      </c>
      <c r="F28" s="12" t="inlineStr">
        <is>
          <t>-</t>
        </is>
      </c>
      <c r="G28" s="12" t="inlineStr">
        <is>
          <t>-</t>
        </is>
      </c>
      <c r="H28" s="12" t="inlineStr">
        <is>
          <t>助手</t>
        </is>
      </c>
      <c r="I28" s="59" t="inlineStr">
        <is>
          <t>EA158</t>
        </is>
      </c>
      <c r="J28" s="1" t="inlineStr">
        <is>
          <t>大熊町橋梁点検</t>
        </is>
      </c>
      <c r="K28" s="14" t="inlineStr">
        <is>
          <t>SARUTAHIKO 資料の修正</t>
        </is>
      </c>
      <c r="L28" s="75" t="n">
        <v>0.5</v>
      </c>
      <c r="M28" s="12" t="inlineStr">
        <is>
          <t>なし</t>
        </is>
      </c>
      <c r="N28" s="76" t="inlineStr">
        <is>
          <t>-</t>
        </is>
      </c>
      <c r="O28" s="12" t="inlineStr">
        <is>
          <t>なし</t>
        </is>
      </c>
      <c r="P28" s="12" t="inlineStr">
        <is>
          <t>-</t>
        </is>
      </c>
      <c r="Q28" s="12" t="inlineStr">
        <is>
          <t>-</t>
        </is>
      </c>
      <c r="R28" s="77" t="inlineStr">
        <is>
          <t>-</t>
        </is>
      </c>
      <c r="S28" s="1" t="inlineStr">
        <is>
          <t>-</t>
        </is>
      </c>
    </row>
    <row r="29" hidden="1" s="79">
      <c r="A29" s="74" t="n">
        <v>46134</v>
      </c>
      <c r="B29" s="12" t="inlineStr">
        <is>
          <t>金本</t>
        </is>
      </c>
      <c r="C29" s="20" t="n">
        <v>0.3541666666666667</v>
      </c>
      <c r="D29" s="20" t="n">
        <v>0.7291666666666666</v>
      </c>
      <c r="E29" s="20" t="n">
        <v>0</v>
      </c>
      <c r="F29" s="12" t="inlineStr">
        <is>
          <t>本社</t>
        </is>
      </c>
      <c r="G29" s="12" t="inlineStr">
        <is>
          <t>本社</t>
        </is>
      </c>
      <c r="H29" s="12" t="inlineStr">
        <is>
          <t>助手</t>
        </is>
      </c>
      <c r="I29" s="12" t="inlineStr">
        <is>
          <t>研修</t>
        </is>
      </c>
      <c r="J29" s="12" t="inlineStr">
        <is>
          <t>研修</t>
        </is>
      </c>
      <c r="K29" s="38" t="inlineStr">
        <is>
          <t>社内３DCAD講習 (CPDS認定講習)</t>
        </is>
      </c>
      <c r="L29" s="75" t="n">
        <v>8</v>
      </c>
      <c r="M29" s="12" t="inlineStr">
        <is>
          <t>AUTODESK</t>
        </is>
      </c>
      <c r="N29" s="76" t="n">
        <v>1750</v>
      </c>
      <c r="O29" s="12" t="inlineStr">
        <is>
          <t>なし</t>
        </is>
      </c>
      <c r="P29" s="12" t="inlineStr">
        <is>
          <t>-</t>
        </is>
      </c>
      <c r="Q29" s="12" t="inlineStr">
        <is>
          <t>-</t>
        </is>
      </c>
      <c r="R29" s="77" t="inlineStr">
        <is>
          <t>-</t>
        </is>
      </c>
      <c r="S29" s="1" t="inlineStr">
        <is>
          <t>-</t>
        </is>
      </c>
    </row>
    <row r="30" hidden="1" s="79">
      <c r="A30" s="74" t="n">
        <v>46134</v>
      </c>
      <c r="B30" s="12" t="inlineStr">
        <is>
          <t>フック</t>
        </is>
      </c>
      <c r="C30" s="20" t="n">
        <v>0.3541666666666667</v>
      </c>
      <c r="D30" s="20" t="n">
        <v>0.7291666666666666</v>
      </c>
      <c r="E30" s="20" t="n">
        <v>0</v>
      </c>
      <c r="F30" s="12" t="inlineStr">
        <is>
          <t>本社</t>
        </is>
      </c>
      <c r="G30" s="12" t="inlineStr">
        <is>
          <t>本社</t>
        </is>
      </c>
      <c r="H30" s="12" t="inlineStr">
        <is>
          <t>助手</t>
        </is>
      </c>
      <c r="I30" s="12" t="inlineStr">
        <is>
          <t>研修</t>
        </is>
      </c>
      <c r="J30" s="12" t="inlineStr">
        <is>
          <t>研修</t>
        </is>
      </c>
      <c r="K30" s="38" t="inlineStr">
        <is>
          <t>社内３DCAD講習 (CPDS認定講習)</t>
        </is>
      </c>
      <c r="L30" s="75" t="n">
        <v>8</v>
      </c>
      <c r="M30" s="12" t="inlineStr">
        <is>
          <t>AUTODESK</t>
        </is>
      </c>
      <c r="N30" s="76" t="n">
        <v>1750</v>
      </c>
      <c r="O30" s="12" t="inlineStr">
        <is>
          <t>なし</t>
        </is>
      </c>
      <c r="P30" s="12" t="inlineStr">
        <is>
          <t>-</t>
        </is>
      </c>
      <c r="Q30" s="12" t="inlineStr">
        <is>
          <t>-</t>
        </is>
      </c>
      <c r="R30" s="77" t="inlineStr">
        <is>
          <t>-</t>
        </is>
      </c>
      <c r="S30" s="1" t="inlineStr">
        <is>
          <t>-</t>
        </is>
      </c>
    </row>
    <row r="31" hidden="1" s="79">
      <c r="A31" s="74" t="n">
        <v>46134</v>
      </c>
      <c r="B31" s="12" t="inlineStr">
        <is>
          <t>南</t>
        </is>
      </c>
      <c r="C31" s="20" t="n">
        <v>0.3541666666666667</v>
      </c>
      <c r="D31" s="20" t="n">
        <v>0.7291666666666666</v>
      </c>
      <c r="E31" s="20" t="n">
        <v>0</v>
      </c>
      <c r="F31" s="12" t="inlineStr">
        <is>
          <t>本社</t>
        </is>
      </c>
      <c r="G31" s="12" t="inlineStr">
        <is>
          <t>本社</t>
        </is>
      </c>
      <c r="H31" s="12" t="inlineStr">
        <is>
          <t>助手</t>
        </is>
      </c>
      <c r="I31" s="12" t="inlineStr">
        <is>
          <t>研修</t>
        </is>
      </c>
      <c r="J31" s="12" t="inlineStr">
        <is>
          <t>研修</t>
        </is>
      </c>
      <c r="K31" s="38" t="inlineStr">
        <is>
          <t>社内３DCAD講習 (CPDS認定講習)</t>
        </is>
      </c>
      <c r="L31" s="75" t="n">
        <v>8</v>
      </c>
      <c r="M31" s="12" t="inlineStr">
        <is>
          <t>AUTODESK</t>
        </is>
      </c>
      <c r="N31" s="76" t="n">
        <v>1750</v>
      </c>
      <c r="O31" s="12" t="inlineStr">
        <is>
          <t>なし</t>
        </is>
      </c>
      <c r="P31" s="12" t="inlineStr">
        <is>
          <t>-</t>
        </is>
      </c>
      <c r="Q31" s="12" t="inlineStr">
        <is>
          <t>-</t>
        </is>
      </c>
      <c r="R31" s="77" t="inlineStr">
        <is>
          <t>-</t>
        </is>
      </c>
      <c r="S31" s="1" t="inlineStr">
        <is>
          <t>-</t>
        </is>
      </c>
    </row>
    <row r="32" hidden="1" s="79">
      <c r="A32" s="74" t="n">
        <v>46134</v>
      </c>
      <c r="B32" s="12" t="inlineStr">
        <is>
          <t>バタイ</t>
        </is>
      </c>
      <c r="C32" s="20" t="n">
        <v>0.3125</v>
      </c>
      <c r="D32" s="20" t="n">
        <v>0.7083333333333334</v>
      </c>
      <c r="E32" s="20" t="n">
        <v>0.04166666666666666</v>
      </c>
      <c r="F32" s="12" t="inlineStr">
        <is>
          <t>本社</t>
        </is>
      </c>
      <c r="G32" s="12" t="inlineStr">
        <is>
          <t>本社</t>
        </is>
      </c>
      <c r="H32" s="12" t="inlineStr">
        <is>
          <t>助手</t>
        </is>
      </c>
      <c r="I32" s="59" t="inlineStr">
        <is>
          <t>研修</t>
        </is>
      </c>
      <c r="J32" s="1" t="inlineStr">
        <is>
          <t>研修</t>
        </is>
      </c>
      <c r="K32" s="14" t="inlineStr">
        <is>
          <t>REVIT配筋モデルマニュアル作成</t>
        </is>
      </c>
      <c r="L32" s="75" t="n">
        <v>8</v>
      </c>
      <c r="M32" s="12" t="inlineStr">
        <is>
          <t>なし</t>
        </is>
      </c>
      <c r="N32" s="76" t="inlineStr">
        <is>
          <t>-</t>
        </is>
      </c>
      <c r="O32" s="12" t="inlineStr">
        <is>
          <t>なし</t>
        </is>
      </c>
      <c r="P32" s="12" t="inlineStr">
        <is>
          <t>-</t>
        </is>
      </c>
      <c r="Q32" s="12" t="inlineStr">
        <is>
          <t>-</t>
        </is>
      </c>
      <c r="R32" s="77" t="inlineStr">
        <is>
          <t>-</t>
        </is>
      </c>
      <c r="S32" s="1" t="inlineStr">
        <is>
          <t>-</t>
        </is>
      </c>
    </row>
    <row r="33" hidden="1" s="79">
      <c r="A33" s="74" t="n">
        <v>46134</v>
      </c>
      <c r="B33" s="12" t="inlineStr">
        <is>
          <t>ズイ</t>
        </is>
      </c>
      <c r="C33" s="20" t="n">
        <v>0.3125</v>
      </c>
      <c r="D33" s="20" t="n">
        <v>0.7083333333333334</v>
      </c>
      <c r="E33" s="20" t="n">
        <v>0.04166666666666666</v>
      </c>
      <c r="F33" s="12" t="inlineStr">
        <is>
          <t>駐在所</t>
        </is>
      </c>
      <c r="G33" s="12" t="inlineStr">
        <is>
          <t>駐在所</t>
        </is>
      </c>
      <c r="H33" s="12" t="inlineStr">
        <is>
          <t>助手</t>
        </is>
      </c>
      <c r="I33" s="12" t="inlineStr">
        <is>
          <t>EA105</t>
        </is>
      </c>
      <c r="J33" s="12" t="inlineStr">
        <is>
          <t>鳥居水門</t>
        </is>
      </c>
      <c r="K33" s="14" t="inlineStr">
        <is>
          <t>鳥居水門の統合モデを修正</t>
        </is>
      </c>
      <c r="L33" s="75" t="n">
        <v>2</v>
      </c>
      <c r="M33" s="12" t="inlineStr">
        <is>
          <t>AUTODESK</t>
        </is>
      </c>
      <c r="N33" s="76" t="n">
        <v>1750</v>
      </c>
      <c r="O33" s="12" t="inlineStr">
        <is>
          <t>なし</t>
        </is>
      </c>
      <c r="P33" s="12" t="inlineStr">
        <is>
          <t>-</t>
        </is>
      </c>
      <c r="Q33" s="12" t="inlineStr">
        <is>
          <t>-</t>
        </is>
      </c>
      <c r="R33" s="77" t="inlineStr">
        <is>
          <t>-</t>
        </is>
      </c>
      <c r="S33" s="1" t="inlineStr">
        <is>
          <t>-</t>
        </is>
      </c>
    </row>
    <row r="34" hidden="1" s="79">
      <c r="A34" s="74" t="n">
        <v>46134</v>
      </c>
      <c r="B34" s="12" t="inlineStr">
        <is>
          <t>ズイ</t>
        </is>
      </c>
      <c r="C34" s="20" t="inlineStr">
        <is>
          <t>-</t>
        </is>
      </c>
      <c r="D34" s="20" t="inlineStr">
        <is>
          <t>-</t>
        </is>
      </c>
      <c r="E34" s="20" t="inlineStr">
        <is>
          <t>-</t>
        </is>
      </c>
      <c r="F34" s="12" t="inlineStr">
        <is>
          <t>-</t>
        </is>
      </c>
      <c r="G34" s="12" t="inlineStr">
        <is>
          <t>-</t>
        </is>
      </c>
      <c r="H34" s="12" t="inlineStr">
        <is>
          <t>助手</t>
        </is>
      </c>
      <c r="I34" s="12" t="inlineStr">
        <is>
          <t>VT01</t>
        </is>
      </c>
      <c r="J34" s="12" t="inlineStr">
        <is>
          <t>駐在所</t>
        </is>
      </c>
      <c r="K34" s="14" t="inlineStr">
        <is>
          <t>ベトナムオンライン</t>
        </is>
      </c>
      <c r="L34" s="75" t="n">
        <v>0.5</v>
      </c>
      <c r="M34" s="12" t="inlineStr">
        <is>
          <t>なし</t>
        </is>
      </c>
      <c r="N34" s="76" t="inlineStr">
        <is>
          <t>-</t>
        </is>
      </c>
      <c r="O34" s="12" t="inlineStr">
        <is>
          <t>なし</t>
        </is>
      </c>
      <c r="P34" s="12" t="inlineStr">
        <is>
          <t>-</t>
        </is>
      </c>
      <c r="Q34" s="12" t="inlineStr">
        <is>
          <t>-</t>
        </is>
      </c>
      <c r="R34" s="77" t="inlineStr">
        <is>
          <t>-</t>
        </is>
      </c>
      <c r="S34" s="1" t="inlineStr">
        <is>
          <t>-</t>
        </is>
      </c>
    </row>
    <row r="35" hidden="1" s="79">
      <c r="A35" s="74" t="n">
        <v>46134</v>
      </c>
      <c r="B35" s="12" t="inlineStr">
        <is>
          <t>ズイ</t>
        </is>
      </c>
      <c r="C35" s="20" t="inlineStr">
        <is>
          <t>-</t>
        </is>
      </c>
      <c r="D35" s="20" t="inlineStr">
        <is>
          <t>-</t>
        </is>
      </c>
      <c r="E35" s="20" t="inlineStr">
        <is>
          <t>-</t>
        </is>
      </c>
      <c r="F35" s="12" t="inlineStr">
        <is>
          <t>-</t>
        </is>
      </c>
      <c r="G35" s="12" t="inlineStr">
        <is>
          <t>-</t>
        </is>
      </c>
      <c r="H35" s="12" t="inlineStr">
        <is>
          <t>助手</t>
        </is>
      </c>
      <c r="I35" s="59" t="inlineStr">
        <is>
          <t>EA134</t>
        </is>
      </c>
      <c r="J35" s="1" t="inlineStr">
        <is>
          <t>教材作成</t>
        </is>
      </c>
      <c r="K35" s="14" t="inlineStr">
        <is>
          <t>Twinmotionによって施工ステップのガイドを作成</t>
        </is>
      </c>
      <c r="L35" s="75" t="n">
        <v>6</v>
      </c>
      <c r="M35" s="12" t="inlineStr">
        <is>
          <t>AUTODESK</t>
        </is>
      </c>
      <c r="N35" s="76" t="n">
        <v>1750</v>
      </c>
      <c r="O35" s="12" t="inlineStr">
        <is>
          <t>なし</t>
        </is>
      </c>
      <c r="P35" s="12" t="inlineStr">
        <is>
          <t>-</t>
        </is>
      </c>
      <c r="Q35" s="12" t="inlineStr">
        <is>
          <t>-</t>
        </is>
      </c>
      <c r="R35" s="77" t="inlineStr">
        <is>
          <t>-</t>
        </is>
      </c>
      <c r="S35" s="1" t="inlineStr">
        <is>
          <t>-</t>
        </is>
      </c>
    </row>
    <row r="36" hidden="1" s="79">
      <c r="A36" s="74" t="n">
        <v>46134</v>
      </c>
      <c r="B36" s="12" t="inlineStr">
        <is>
          <t>人見</t>
        </is>
      </c>
      <c r="C36" s="20" t="n">
        <v>0.3541666666666667</v>
      </c>
      <c r="D36" s="20" t="n">
        <v>0.7291666666666666</v>
      </c>
      <c r="E36" s="20" t="n">
        <v>0</v>
      </c>
      <c r="F36" s="12" t="inlineStr">
        <is>
          <t>本社</t>
        </is>
      </c>
      <c r="G36" s="12" t="inlineStr">
        <is>
          <t>本社</t>
        </is>
      </c>
      <c r="H36" s="12" t="inlineStr">
        <is>
          <t>助手</t>
        </is>
      </c>
      <c r="I36" s="1" t="inlineStr">
        <is>
          <t>開発</t>
        </is>
      </c>
      <c r="J36" s="1" t="inlineStr">
        <is>
          <t>開発関係</t>
        </is>
      </c>
      <c r="K36" s="14" t="inlineStr">
        <is>
          <t>MK32の接続テスト</t>
        </is>
      </c>
      <c r="L36" s="75" t="n">
        <v>2</v>
      </c>
      <c r="M36" s="12" t="inlineStr">
        <is>
          <t>なし</t>
        </is>
      </c>
      <c r="N36" s="76" t="inlineStr">
        <is>
          <t>-</t>
        </is>
      </c>
      <c r="O36" s="12" t="inlineStr">
        <is>
          <t>なし</t>
        </is>
      </c>
      <c r="P36" s="12" t="inlineStr">
        <is>
          <t>-</t>
        </is>
      </c>
      <c r="Q36" s="12" t="inlineStr">
        <is>
          <t>-</t>
        </is>
      </c>
      <c r="R36" s="77" t="inlineStr">
        <is>
          <t>-</t>
        </is>
      </c>
      <c r="S36" s="1" t="inlineStr">
        <is>
          <t>-</t>
        </is>
      </c>
    </row>
    <row r="37" hidden="1" s="79">
      <c r="A37" s="74" t="n">
        <v>46134</v>
      </c>
      <c r="B37" s="12" t="inlineStr">
        <is>
          <t>人見</t>
        </is>
      </c>
      <c r="C37" s="20" t="inlineStr">
        <is>
          <t>-</t>
        </is>
      </c>
      <c r="D37" s="20" t="inlineStr">
        <is>
          <t>-</t>
        </is>
      </c>
      <c r="E37" s="20" t="inlineStr">
        <is>
          <t>-</t>
        </is>
      </c>
      <c r="F37" s="12" t="inlineStr">
        <is>
          <t>-</t>
        </is>
      </c>
      <c r="G37" s="12" t="inlineStr">
        <is>
          <t>-</t>
        </is>
      </c>
      <c r="H37" s="12" t="inlineStr">
        <is>
          <t>助手</t>
        </is>
      </c>
      <c r="I37" s="12" t="inlineStr">
        <is>
          <t>開発</t>
        </is>
      </c>
      <c r="J37" s="12" t="inlineStr">
        <is>
          <t>開発関係</t>
        </is>
      </c>
      <c r="K37" s="14" t="inlineStr">
        <is>
          <t>VPNの学習</t>
        </is>
      </c>
      <c r="L37" s="75" t="n">
        <v>6</v>
      </c>
      <c r="M37" s="12" t="inlineStr">
        <is>
          <t>なし</t>
        </is>
      </c>
      <c r="N37" s="76" t="inlineStr">
        <is>
          <t>-</t>
        </is>
      </c>
      <c r="O37" s="12" t="inlineStr">
        <is>
          <t>なし</t>
        </is>
      </c>
      <c r="P37" s="12" t="inlineStr">
        <is>
          <t>-</t>
        </is>
      </c>
      <c r="Q37" s="12" t="inlineStr">
        <is>
          <t>-</t>
        </is>
      </c>
      <c r="R37" s="77" t="inlineStr">
        <is>
          <t>-</t>
        </is>
      </c>
      <c r="S37" s="1" t="inlineStr">
        <is>
          <t>-</t>
        </is>
      </c>
    </row>
    <row r="38">
      <c r="A38" s="74" t="n">
        <v>46133</v>
      </c>
      <c r="B38" s="12" t="inlineStr">
        <is>
          <t>ズイ</t>
        </is>
      </c>
      <c r="C38" s="20" t="n">
        <v>0.3125</v>
      </c>
      <c r="D38" s="20" t="n">
        <v>0.7083333333333334</v>
      </c>
      <c r="E38" s="20" t="n">
        <v>0.02083333333333333</v>
      </c>
      <c r="F38" s="12" t="inlineStr">
        <is>
          <t>本社</t>
        </is>
      </c>
      <c r="G38" s="12" t="inlineStr">
        <is>
          <t>本社</t>
        </is>
      </c>
      <c r="H38" s="12" t="inlineStr">
        <is>
          <t>助手</t>
        </is>
      </c>
      <c r="I38" s="59" t="inlineStr">
        <is>
          <t>EA134</t>
        </is>
      </c>
      <c r="J38" s="1" t="inlineStr">
        <is>
          <t>教材作成</t>
        </is>
      </c>
      <c r="K38" s="14" t="inlineStr">
        <is>
          <t>Twinmotionによって施工ステップのガイを作成</t>
        </is>
      </c>
      <c r="L38" s="75" t="n">
        <v>8.5</v>
      </c>
      <c r="M38" s="12" t="inlineStr">
        <is>
          <t>AUTODESK</t>
        </is>
      </c>
      <c r="N38" s="76" t="n">
        <v>1750</v>
      </c>
      <c r="O38" s="12" t="inlineStr">
        <is>
          <t>なし</t>
        </is>
      </c>
      <c r="P38" s="12" t="inlineStr">
        <is>
          <t>-</t>
        </is>
      </c>
      <c r="Q38" s="12" t="inlineStr">
        <is>
          <t>-</t>
        </is>
      </c>
      <c r="R38" s="77" t="inlineStr">
        <is>
          <t>-</t>
        </is>
      </c>
      <c r="S38" s="1" t="inlineStr">
        <is>
          <t>-</t>
        </is>
      </c>
    </row>
    <row r="39" hidden="1" s="79">
      <c r="A39" s="74" t="n">
        <v>46134</v>
      </c>
      <c r="B39" s="12" t="inlineStr">
        <is>
          <t>竹本</t>
        </is>
      </c>
      <c r="C39" s="20" t="n">
        <v>0.5416666666666666</v>
      </c>
      <c r="D39" s="20" t="n">
        <v>0.7083333333333334</v>
      </c>
      <c r="E39" s="20" t="inlineStr">
        <is>
          <t>-05:00</t>
        </is>
      </c>
      <c r="F39" s="12" t="inlineStr">
        <is>
          <t>綾部</t>
        </is>
      </c>
      <c r="G39" s="12" t="inlineStr">
        <is>
          <t>綾部</t>
        </is>
      </c>
      <c r="H39" s="12" t="inlineStr">
        <is>
          <t>技師</t>
        </is>
      </c>
      <c r="I39" s="59" t="inlineStr">
        <is>
          <t>EA156</t>
        </is>
      </c>
      <c r="J39" s="1" t="inlineStr">
        <is>
          <t>R7寺田拡幅</t>
        </is>
      </c>
      <c r="K39" s="14" t="inlineStr">
        <is>
          <t>測量計画書作成「基準点・水準」</t>
        </is>
      </c>
      <c r="L39" s="75" t="n">
        <v>4</v>
      </c>
      <c r="M39" s="12" t="inlineStr">
        <is>
          <t>武蔵</t>
        </is>
      </c>
      <c r="N39" s="76" t="n">
        <v>480</v>
      </c>
      <c r="O39" s="12" t="inlineStr">
        <is>
          <t>なし</t>
        </is>
      </c>
      <c r="P39" s="12" t="inlineStr">
        <is>
          <t>-</t>
        </is>
      </c>
      <c r="Q39" s="12" t="inlineStr">
        <is>
          <t>-</t>
        </is>
      </c>
      <c r="R39" s="77" t="inlineStr">
        <is>
          <t>-</t>
        </is>
      </c>
      <c r="S39" s="1" t="inlineStr">
        <is>
          <t>-</t>
        </is>
      </c>
    </row>
    <row r="40" hidden="1" s="79">
      <c r="A40" s="74" t="n">
        <v>46134</v>
      </c>
      <c r="B40" s="12" t="inlineStr">
        <is>
          <t>タイ</t>
        </is>
      </c>
      <c r="C40" s="20" t="n">
        <v>0.3541666666666667</v>
      </c>
      <c r="D40" s="20" t="n">
        <v>0.7291666666666666</v>
      </c>
      <c r="E40" s="20" t="n">
        <v>0</v>
      </c>
      <c r="F40" s="12" t="inlineStr">
        <is>
          <t>本社</t>
        </is>
      </c>
      <c r="G40" s="12" t="inlineStr">
        <is>
          <t>本社</t>
        </is>
      </c>
      <c r="H40" s="12" t="inlineStr">
        <is>
          <t>助手</t>
        </is>
      </c>
      <c r="I40" s="59" t="inlineStr">
        <is>
          <t>EA105</t>
        </is>
      </c>
      <c r="J40" s="1" t="inlineStr">
        <is>
          <t>鳥居水門</t>
        </is>
      </c>
      <c r="K40" s="14" t="inlineStr">
        <is>
          <t>BIMCIMフォルダ資料の作成</t>
        </is>
      </c>
      <c r="L40" s="75" t="n">
        <v>1</v>
      </c>
      <c r="M40" s="12" t="inlineStr">
        <is>
          <t>AUTODESK</t>
        </is>
      </c>
      <c r="N40" s="76" t="n">
        <v>1750</v>
      </c>
      <c r="O40" s="12" t="inlineStr">
        <is>
          <t>なし</t>
        </is>
      </c>
      <c r="P40" s="12" t="inlineStr">
        <is>
          <t>-</t>
        </is>
      </c>
      <c r="Q40" s="12" t="inlineStr">
        <is>
          <t>-</t>
        </is>
      </c>
      <c r="R40" s="77" t="inlineStr">
        <is>
          <t>-</t>
        </is>
      </c>
      <c r="S40" s="1" t="inlineStr">
        <is>
          <t>-</t>
        </is>
      </c>
    </row>
    <row r="41" hidden="1" s="79">
      <c r="A41" s="74" t="n">
        <v>46134</v>
      </c>
      <c r="B41" s="12" t="inlineStr">
        <is>
          <t>タイ</t>
        </is>
      </c>
      <c r="C41" s="20" t="inlineStr">
        <is>
          <t>-</t>
        </is>
      </c>
      <c r="D41" s="20" t="inlineStr">
        <is>
          <t>-</t>
        </is>
      </c>
      <c r="E41" s="20" t="inlineStr">
        <is>
          <t>-</t>
        </is>
      </c>
      <c r="F41" s="12" t="inlineStr">
        <is>
          <t>-</t>
        </is>
      </c>
      <c r="G41" s="12" t="inlineStr">
        <is>
          <t>-</t>
        </is>
      </c>
      <c r="H41" s="12" t="inlineStr">
        <is>
          <t>助手</t>
        </is>
      </c>
      <c r="I41" s="38" t="inlineStr">
        <is>
          <t>VT01</t>
        </is>
      </c>
      <c r="J41" s="39" t="inlineStr">
        <is>
          <t>駐在所</t>
        </is>
      </c>
      <c r="K41" s="14" t="inlineStr">
        <is>
          <t>ベトナムオンライン</t>
        </is>
      </c>
      <c r="L41" s="75" t="n">
        <v>0.5</v>
      </c>
      <c r="M41" s="12" t="inlineStr">
        <is>
          <t>なし</t>
        </is>
      </c>
      <c r="N41" s="76" t="inlineStr">
        <is>
          <t>-</t>
        </is>
      </c>
      <c r="O41" s="12" t="inlineStr">
        <is>
          <t>なし</t>
        </is>
      </c>
      <c r="P41" s="12" t="inlineStr">
        <is>
          <t>-</t>
        </is>
      </c>
      <c r="Q41" s="12" t="inlineStr">
        <is>
          <t>-</t>
        </is>
      </c>
      <c r="R41" s="77" t="inlineStr">
        <is>
          <t>-</t>
        </is>
      </c>
      <c r="S41" s="1" t="inlineStr">
        <is>
          <t>-</t>
        </is>
      </c>
    </row>
    <row r="42" hidden="1" s="79">
      <c r="A42" s="74" t="n">
        <v>46134</v>
      </c>
      <c r="B42" s="12" t="inlineStr">
        <is>
          <t>タイ</t>
        </is>
      </c>
      <c r="C42" s="20" t="inlineStr">
        <is>
          <t>-</t>
        </is>
      </c>
      <c r="D42" s="20" t="inlineStr">
        <is>
          <t>-</t>
        </is>
      </c>
      <c r="E42" s="20" t="inlineStr">
        <is>
          <t>-</t>
        </is>
      </c>
      <c r="F42" s="12" t="inlineStr">
        <is>
          <t>-</t>
        </is>
      </c>
      <c r="G42" s="12" t="inlineStr">
        <is>
          <t>-</t>
        </is>
      </c>
      <c r="H42" s="12" t="inlineStr">
        <is>
          <t>助手</t>
        </is>
      </c>
      <c r="I42" s="12" t="inlineStr">
        <is>
          <t>EA156</t>
        </is>
      </c>
      <c r="J42" s="12" t="inlineStr">
        <is>
          <t>R7寺田拡幅</t>
        </is>
      </c>
      <c r="K42" s="14" t="inlineStr">
        <is>
          <t>寺田拡幅交差点の3Dモデル作成</t>
        </is>
      </c>
      <c r="L42" s="75" t="n">
        <v>6.5</v>
      </c>
      <c r="M42" s="12" t="inlineStr">
        <is>
          <t>AUTODESK</t>
        </is>
      </c>
      <c r="N42" s="76" t="n">
        <v>1750</v>
      </c>
      <c r="O42" s="12" t="inlineStr">
        <is>
          <t>なし</t>
        </is>
      </c>
      <c r="P42" s="12" t="inlineStr">
        <is>
          <t>-</t>
        </is>
      </c>
      <c r="Q42" s="12" t="inlineStr">
        <is>
          <t>-</t>
        </is>
      </c>
      <c r="R42" s="77" t="inlineStr">
        <is>
          <t>-</t>
        </is>
      </c>
      <c r="S42" s="1" t="inlineStr">
        <is>
          <t>-</t>
        </is>
      </c>
    </row>
    <row r="43" hidden="1" s="79">
      <c r="A43" s="74" t="n">
        <v>46135</v>
      </c>
      <c r="B43" s="12" t="inlineStr">
        <is>
          <t>内藤</t>
        </is>
      </c>
      <c r="C43" s="20" t="n">
        <v>0.3541666666666667</v>
      </c>
      <c r="D43" s="20" t="n">
        <v>0.75</v>
      </c>
      <c r="E43" s="20" t="n">
        <v>0.02083333333333333</v>
      </c>
      <c r="F43" s="12" t="inlineStr">
        <is>
          <t>本社</t>
        </is>
      </c>
      <c r="G43" s="12" t="inlineStr">
        <is>
          <t>本社</t>
        </is>
      </c>
      <c r="H43" s="12" t="inlineStr">
        <is>
          <t>助手</t>
        </is>
      </c>
      <c r="I43" s="12" t="inlineStr">
        <is>
          <t>事務</t>
        </is>
      </c>
      <c r="J43" s="12" t="inlineStr">
        <is>
          <t>事務</t>
        </is>
      </c>
      <c r="K43" s="14" t="inlineStr">
        <is>
          <t>請負業務一覧表の更新</t>
        </is>
      </c>
      <c r="L43" s="75" t="n">
        <v>0.5</v>
      </c>
      <c r="M43" s="12" t="inlineStr">
        <is>
          <t>なし</t>
        </is>
      </c>
      <c r="N43" s="76" t="inlineStr">
        <is>
          <t>-</t>
        </is>
      </c>
      <c r="O43" s="12" t="inlineStr">
        <is>
          <t>なし</t>
        </is>
      </c>
      <c r="P43" s="12" t="inlineStr">
        <is>
          <t>-</t>
        </is>
      </c>
      <c r="Q43" s="12" t="inlineStr">
        <is>
          <t>-</t>
        </is>
      </c>
      <c r="R43" s="77" t="inlineStr">
        <is>
          <t>-</t>
        </is>
      </c>
      <c r="S43" s="1" t="inlineStr">
        <is>
          <t>-</t>
        </is>
      </c>
    </row>
    <row r="44" hidden="1" s="79">
      <c r="A44" s="74" t="n">
        <v>46135</v>
      </c>
      <c r="B44" s="12" t="inlineStr">
        <is>
          <t>内藤</t>
        </is>
      </c>
      <c r="C44" s="20" t="inlineStr">
        <is>
          <t>-</t>
        </is>
      </c>
      <c r="D44" s="20" t="inlineStr">
        <is>
          <t>-</t>
        </is>
      </c>
      <c r="E44" s="20" t="inlineStr">
        <is>
          <t>-</t>
        </is>
      </c>
      <c r="F44" s="12" t="inlineStr">
        <is>
          <t>-</t>
        </is>
      </c>
      <c r="G44" s="12" t="inlineStr">
        <is>
          <t>-</t>
        </is>
      </c>
      <c r="H44" s="12" t="inlineStr">
        <is>
          <t>助手</t>
        </is>
      </c>
      <c r="I44" s="12" t="inlineStr">
        <is>
          <t>EA151</t>
        </is>
      </c>
      <c r="J44" s="12" t="inlineStr">
        <is>
          <t>由良川調査</t>
        </is>
      </c>
      <c r="K44" s="14" t="inlineStr">
        <is>
          <t>メール対応（入金について）</t>
        </is>
      </c>
      <c r="L44" s="75" t="n">
        <v>0.5</v>
      </c>
      <c r="M44" s="12" t="inlineStr">
        <is>
          <t>なし</t>
        </is>
      </c>
      <c r="N44" s="76" t="inlineStr">
        <is>
          <t>-</t>
        </is>
      </c>
      <c r="O44" s="12" t="inlineStr">
        <is>
          <t>なし</t>
        </is>
      </c>
      <c r="P44" s="12" t="inlineStr">
        <is>
          <t>-</t>
        </is>
      </c>
      <c r="Q44" s="12" t="inlineStr">
        <is>
          <t>-</t>
        </is>
      </c>
      <c r="R44" s="77" t="inlineStr">
        <is>
          <t>-</t>
        </is>
      </c>
      <c r="S44" s="1" t="inlineStr">
        <is>
          <t>-</t>
        </is>
      </c>
    </row>
    <row r="45" hidden="1" s="79">
      <c r="A45" s="74" t="n">
        <v>46135</v>
      </c>
      <c r="B45" s="12" t="inlineStr">
        <is>
          <t>内藤</t>
        </is>
      </c>
      <c r="C45" s="20" t="inlineStr">
        <is>
          <t>-</t>
        </is>
      </c>
      <c r="D45" s="20" t="inlineStr">
        <is>
          <t>-</t>
        </is>
      </c>
      <c r="E45" s="20" t="inlineStr">
        <is>
          <t>-</t>
        </is>
      </c>
      <c r="F45" s="12" t="inlineStr">
        <is>
          <t>-</t>
        </is>
      </c>
      <c r="G45" s="12" t="inlineStr">
        <is>
          <t>-</t>
        </is>
      </c>
      <c r="H45" s="12" t="inlineStr">
        <is>
          <t>助手</t>
        </is>
      </c>
      <c r="I45" s="59" t="inlineStr">
        <is>
          <t>EA45</t>
        </is>
      </c>
      <c r="J45" s="1" t="inlineStr">
        <is>
          <t>北陸</t>
        </is>
      </c>
      <c r="K45" s="14" t="inlineStr">
        <is>
          <t>黒田高架橋 詳細 質問に対しての回答を確認し、メール対応</t>
        </is>
      </c>
      <c r="L45" s="75" t="n">
        <v>0.5</v>
      </c>
      <c r="M45" s="12" t="inlineStr">
        <is>
          <t>なし</t>
        </is>
      </c>
      <c r="N45" s="76" t="inlineStr">
        <is>
          <t>-</t>
        </is>
      </c>
      <c r="O45" s="12" t="inlineStr">
        <is>
          <t>なし</t>
        </is>
      </c>
      <c r="P45" s="12" t="inlineStr">
        <is>
          <t>-</t>
        </is>
      </c>
      <c r="Q45" s="12" t="inlineStr">
        <is>
          <t>-</t>
        </is>
      </c>
      <c r="R45" s="77" t="inlineStr">
        <is>
          <t>-</t>
        </is>
      </c>
      <c r="S45" s="1" t="inlineStr">
        <is>
          <t>-</t>
        </is>
      </c>
    </row>
    <row r="46" hidden="1" s="79">
      <c r="A46" s="74" t="n">
        <v>46135</v>
      </c>
      <c r="B46" s="12" t="inlineStr">
        <is>
          <t>内藤</t>
        </is>
      </c>
      <c r="C46" s="20" t="inlineStr">
        <is>
          <t>-</t>
        </is>
      </c>
      <c r="D46" s="20" t="inlineStr">
        <is>
          <t>-</t>
        </is>
      </c>
      <c r="E46" s="20" t="inlineStr">
        <is>
          <t>-</t>
        </is>
      </c>
      <c r="F46" s="12" t="inlineStr">
        <is>
          <t>-</t>
        </is>
      </c>
      <c r="G46" s="12" t="inlineStr">
        <is>
          <t>-</t>
        </is>
      </c>
      <c r="H46" s="12" t="inlineStr">
        <is>
          <t>助手</t>
        </is>
      </c>
      <c r="I46" s="12" t="inlineStr">
        <is>
          <t>EA105</t>
        </is>
      </c>
      <c r="J46" s="12" t="inlineStr">
        <is>
          <t>鳥居水門</t>
        </is>
      </c>
      <c r="K46" s="14" t="inlineStr">
        <is>
          <t>BIM/CIMフォルダの納品</t>
        </is>
      </c>
      <c r="L46" s="75" t="n">
        <v>1</v>
      </c>
      <c r="M46" s="12" t="inlineStr">
        <is>
          <t>なし</t>
        </is>
      </c>
      <c r="N46" s="76" t="inlineStr">
        <is>
          <t>-</t>
        </is>
      </c>
      <c r="O46" s="12" t="inlineStr">
        <is>
          <t>なし</t>
        </is>
      </c>
      <c r="P46" s="12" t="inlineStr">
        <is>
          <t>-</t>
        </is>
      </c>
      <c r="Q46" s="12" t="inlineStr">
        <is>
          <t>-</t>
        </is>
      </c>
      <c r="R46" s="77" t="inlineStr">
        <is>
          <t>-</t>
        </is>
      </c>
      <c r="S46" s="1" t="inlineStr">
        <is>
          <t>-</t>
        </is>
      </c>
    </row>
    <row r="47" hidden="1" s="79">
      <c r="A47" s="74" t="n">
        <v>46135</v>
      </c>
      <c r="B47" s="12" t="inlineStr">
        <is>
          <t>内藤</t>
        </is>
      </c>
      <c r="C47" s="20" t="inlineStr">
        <is>
          <t>-</t>
        </is>
      </c>
      <c r="D47" s="20" t="inlineStr">
        <is>
          <t>-</t>
        </is>
      </c>
      <c r="E47" s="20" t="inlineStr">
        <is>
          <t>-</t>
        </is>
      </c>
      <c r="F47" s="12" t="inlineStr">
        <is>
          <t>-</t>
        </is>
      </c>
      <c r="G47" s="12" t="inlineStr">
        <is>
          <t>-</t>
        </is>
      </c>
      <c r="H47" s="12" t="inlineStr">
        <is>
          <t>助手</t>
        </is>
      </c>
      <c r="I47" s="12" t="inlineStr">
        <is>
          <t>EA106</t>
        </is>
      </c>
      <c r="J47" s="12" t="inlineStr">
        <is>
          <t>国道9号京都西</t>
        </is>
      </c>
      <c r="K47" s="14" t="inlineStr">
        <is>
          <t>バックパック式TLSに関する動画編集の補助</t>
        </is>
      </c>
      <c r="L47" s="75" t="n">
        <v>1.5</v>
      </c>
      <c r="M47" s="12" t="inlineStr">
        <is>
          <t>なし</t>
        </is>
      </c>
      <c r="N47" s="76" t="inlineStr">
        <is>
          <t>-</t>
        </is>
      </c>
      <c r="O47" s="12" t="inlineStr">
        <is>
          <t>なし</t>
        </is>
      </c>
      <c r="P47" s="12" t="inlineStr">
        <is>
          <t>-</t>
        </is>
      </c>
      <c r="Q47" s="12" t="inlineStr">
        <is>
          <t>-</t>
        </is>
      </c>
      <c r="R47" s="77" t="inlineStr">
        <is>
          <t>-</t>
        </is>
      </c>
      <c r="S47" s="1" t="inlineStr">
        <is>
          <t>-</t>
        </is>
      </c>
    </row>
    <row r="48" hidden="1" s="79">
      <c r="A48" s="74" t="n">
        <v>46134</v>
      </c>
      <c r="B48" s="12" t="inlineStr">
        <is>
          <t>仲</t>
        </is>
      </c>
      <c r="C48" s="20" t="n">
        <v>0.3541666666666667</v>
      </c>
      <c r="D48" s="20" t="n">
        <v>0.7708333333333334</v>
      </c>
      <c r="E48" s="20" t="n">
        <v>0.04166666666666666</v>
      </c>
      <c r="F48" s="12" t="inlineStr">
        <is>
          <t>本社</t>
        </is>
      </c>
      <c r="G48" s="12" t="inlineStr">
        <is>
          <t>本社</t>
        </is>
      </c>
      <c r="H48" s="12" t="inlineStr">
        <is>
          <t>助手</t>
        </is>
      </c>
      <c r="I48" s="38" t="inlineStr">
        <is>
          <t>EA94</t>
        </is>
      </c>
      <c r="J48" s="39" t="inlineStr">
        <is>
          <t>なにわ筋</t>
        </is>
      </c>
      <c r="K48" s="14" t="inlineStr">
        <is>
          <t>錢高組様と打ち合わせ</t>
        </is>
      </c>
      <c r="L48" s="75" t="n">
        <v>5</v>
      </c>
      <c r="M48" s="12" t="inlineStr">
        <is>
          <t>なし</t>
        </is>
      </c>
      <c r="N48" s="76" t="inlineStr">
        <is>
          <t>-</t>
        </is>
      </c>
      <c r="O48" s="12" t="inlineStr">
        <is>
          <t>ステップワゴン</t>
        </is>
      </c>
      <c r="P48" s="12" t="inlineStr">
        <is>
          <t>本社</t>
        </is>
      </c>
      <c r="Q48" s="12" t="inlineStr">
        <is>
          <t>なにわ筋</t>
        </is>
      </c>
      <c r="R48" s="77" t="n">
        <v>53</v>
      </c>
      <c r="S48" s="1" t="inlineStr">
        <is>
          <t>高速</t>
        </is>
      </c>
    </row>
    <row r="49" hidden="1" s="79">
      <c r="A49" s="74" t="n">
        <v>46134</v>
      </c>
      <c r="B49" s="12" t="inlineStr">
        <is>
          <t>仲</t>
        </is>
      </c>
      <c r="C49" s="20" t="inlineStr">
        <is>
          <t>-</t>
        </is>
      </c>
      <c r="D49" s="20" t="inlineStr">
        <is>
          <t>-</t>
        </is>
      </c>
      <c r="E49" s="20" t="inlineStr">
        <is>
          <t>-</t>
        </is>
      </c>
      <c r="F49" s="12" t="inlineStr">
        <is>
          <t>-</t>
        </is>
      </c>
      <c r="G49" s="12" t="inlineStr">
        <is>
          <t>-</t>
        </is>
      </c>
      <c r="H49" s="12" t="inlineStr">
        <is>
          <t>助手</t>
        </is>
      </c>
      <c r="I49" s="59" t="inlineStr">
        <is>
          <t>EA94</t>
        </is>
      </c>
      <c r="J49" s="1" t="inlineStr">
        <is>
          <t>なにわ筋</t>
        </is>
      </c>
      <c r="K49" s="14" t="inlineStr">
        <is>
          <t>KOLC+ラベル表示修正</t>
        </is>
      </c>
      <c r="L49" s="75" t="n">
        <v>2</v>
      </c>
      <c r="M49" s="12" t="inlineStr">
        <is>
          <t>なし</t>
        </is>
      </c>
      <c r="N49" s="76" t="inlineStr">
        <is>
          <t>-</t>
        </is>
      </c>
      <c r="O49" s="12" t="inlineStr">
        <is>
          <t>なし</t>
        </is>
      </c>
      <c r="P49" s="12" t="inlineStr">
        <is>
          <t>-</t>
        </is>
      </c>
      <c r="Q49" s="12" t="inlineStr">
        <is>
          <t>-</t>
        </is>
      </c>
      <c r="R49" s="77" t="inlineStr">
        <is>
          <t>-</t>
        </is>
      </c>
      <c r="S49" s="1" t="inlineStr">
        <is>
          <t>-</t>
        </is>
      </c>
    </row>
    <row r="50" hidden="1" s="79">
      <c r="A50" s="74" t="n">
        <v>46134</v>
      </c>
      <c r="B50" s="12" t="inlineStr">
        <is>
          <t>仲</t>
        </is>
      </c>
      <c r="C50" s="20" t="inlineStr">
        <is>
          <t>-</t>
        </is>
      </c>
      <c r="D50" s="20" t="inlineStr">
        <is>
          <t>-</t>
        </is>
      </c>
      <c r="E50" s="20" t="inlineStr">
        <is>
          <t>-</t>
        </is>
      </c>
      <c r="F50" s="12" t="inlineStr">
        <is>
          <t>-</t>
        </is>
      </c>
      <c r="G50" s="12" t="inlineStr">
        <is>
          <t>-</t>
        </is>
      </c>
      <c r="H50" s="12" t="inlineStr">
        <is>
          <t>助手</t>
        </is>
      </c>
      <c r="I50" s="59" t="inlineStr">
        <is>
          <t>EA156</t>
        </is>
      </c>
      <c r="J50" s="1" t="inlineStr">
        <is>
          <t>R7寺田拡幅</t>
        </is>
      </c>
      <c r="K50" s="14" t="inlineStr">
        <is>
          <t>計測ガウシアン解析</t>
        </is>
      </c>
      <c r="L50" s="75" t="n">
        <v>2</v>
      </c>
      <c r="M50" s="12" t="inlineStr">
        <is>
          <t>Trend-Point</t>
        </is>
      </c>
      <c r="N50" s="76" t="n">
        <v>600</v>
      </c>
      <c r="O50" s="12" t="inlineStr">
        <is>
          <t>なし</t>
        </is>
      </c>
      <c r="P50" s="12" t="inlineStr">
        <is>
          <t>-</t>
        </is>
      </c>
      <c r="Q50" s="12" t="inlineStr">
        <is>
          <t>-</t>
        </is>
      </c>
      <c r="R50" s="77" t="inlineStr">
        <is>
          <t>-</t>
        </is>
      </c>
      <c r="S50" s="1" t="inlineStr">
        <is>
          <t>-</t>
        </is>
      </c>
    </row>
    <row r="51" hidden="1" s="79">
      <c r="A51" s="74" t="n">
        <v>46135</v>
      </c>
      <c r="B51" s="12" t="inlineStr">
        <is>
          <t>金本</t>
        </is>
      </c>
      <c r="C51" s="20" t="n">
        <v>0.3541666666666667</v>
      </c>
      <c r="D51" s="20" t="n">
        <v>0.7291666666666666</v>
      </c>
      <c r="E51" s="20" t="n">
        <v>0</v>
      </c>
      <c r="F51" s="12" t="inlineStr">
        <is>
          <t>本社</t>
        </is>
      </c>
      <c r="G51" s="12" t="inlineStr">
        <is>
          <t>本社</t>
        </is>
      </c>
      <c r="H51" s="12" t="inlineStr">
        <is>
          <t>助手</t>
        </is>
      </c>
      <c r="I51" s="12" t="inlineStr">
        <is>
          <t>営業</t>
        </is>
      </c>
      <c r="J51" s="12" t="inlineStr">
        <is>
          <t>営業</t>
        </is>
      </c>
      <c r="K51" s="14" t="inlineStr">
        <is>
          <t>錢高組 テイン様から質問いただいていたコルク＋の問題を検証し、メールで回答</t>
        </is>
      </c>
      <c r="L51" s="75" t="n">
        <v>2</v>
      </c>
      <c r="M51" s="12" t="inlineStr">
        <is>
          <t>なし</t>
        </is>
      </c>
      <c r="N51" s="76" t="inlineStr">
        <is>
          <t>-</t>
        </is>
      </c>
      <c r="O51" s="12" t="inlineStr">
        <is>
          <t>なし</t>
        </is>
      </c>
      <c r="P51" s="12" t="inlineStr">
        <is>
          <t>-</t>
        </is>
      </c>
      <c r="Q51" s="12" t="inlineStr">
        <is>
          <t>-</t>
        </is>
      </c>
      <c r="R51" s="77" t="inlineStr">
        <is>
          <t>-</t>
        </is>
      </c>
      <c r="S51" s="1" t="inlineStr">
        <is>
          <t>-</t>
        </is>
      </c>
    </row>
    <row r="52" hidden="1" s="79">
      <c r="A52" s="74" t="n">
        <v>46135</v>
      </c>
      <c r="B52" s="12" t="inlineStr">
        <is>
          <t>金本</t>
        </is>
      </c>
      <c r="C52" s="20" t="inlineStr">
        <is>
          <t>-</t>
        </is>
      </c>
      <c r="D52" s="20" t="inlineStr">
        <is>
          <t>-</t>
        </is>
      </c>
      <c r="E52" s="20" t="inlineStr">
        <is>
          <t>-</t>
        </is>
      </c>
      <c r="F52" s="12" t="inlineStr">
        <is>
          <t>-</t>
        </is>
      </c>
      <c r="G52" s="12" t="inlineStr">
        <is>
          <t>-</t>
        </is>
      </c>
      <c r="H52" s="12" t="inlineStr">
        <is>
          <t>助手</t>
        </is>
      </c>
      <c r="I52" s="12" t="inlineStr">
        <is>
          <t>営業</t>
        </is>
      </c>
      <c r="J52" s="12" t="inlineStr">
        <is>
          <t>営業</t>
        </is>
      </c>
      <c r="K52" s="14" t="inlineStr">
        <is>
          <t>昼からの打ち合わせのための資料作成(錢高組 Revit講習の反省会資料)</t>
        </is>
      </c>
      <c r="L52" s="75" t="n">
        <v>4</v>
      </c>
      <c r="M52" s="12" t="inlineStr">
        <is>
          <t>なし</t>
        </is>
      </c>
      <c r="N52" s="76" t="inlineStr">
        <is>
          <t>-</t>
        </is>
      </c>
      <c r="O52" s="12" t="inlineStr">
        <is>
          <t>なし</t>
        </is>
      </c>
      <c r="P52" s="12" t="inlineStr">
        <is>
          <t>-</t>
        </is>
      </c>
      <c r="Q52" s="12" t="inlineStr">
        <is>
          <t>-</t>
        </is>
      </c>
      <c r="R52" s="77" t="inlineStr">
        <is>
          <t>-</t>
        </is>
      </c>
      <c r="S52" s="1" t="inlineStr">
        <is>
          <t>-</t>
        </is>
      </c>
    </row>
    <row r="53" hidden="1" s="79">
      <c r="A53" s="74" t="n">
        <v>46135</v>
      </c>
      <c r="B53" s="12" t="inlineStr">
        <is>
          <t>金本</t>
        </is>
      </c>
      <c r="C53" s="20" t="inlineStr">
        <is>
          <t>-</t>
        </is>
      </c>
      <c r="D53" s="20" t="inlineStr">
        <is>
          <t>-</t>
        </is>
      </c>
      <c r="E53" s="20" t="inlineStr">
        <is>
          <t>-</t>
        </is>
      </c>
      <c r="F53" s="12" t="inlineStr">
        <is>
          <t>-</t>
        </is>
      </c>
      <c r="G53" s="12" t="inlineStr">
        <is>
          <t>-</t>
        </is>
      </c>
      <c r="H53" s="12" t="inlineStr">
        <is>
          <t>助手</t>
        </is>
      </c>
      <c r="I53" s="59" t="inlineStr">
        <is>
          <t>開発</t>
        </is>
      </c>
      <c r="J53" s="1" t="inlineStr">
        <is>
          <t>開発関係</t>
        </is>
      </c>
      <c r="K53" s="14" t="inlineStr">
        <is>
          <t>打ち合わせ(人見さんが作ってくれたソフトの説明、錢高組 Revit講習の反省会)</t>
        </is>
      </c>
      <c r="L53" s="75" t="n">
        <v>2</v>
      </c>
      <c r="M53" s="12" t="inlineStr">
        <is>
          <t>なし</t>
        </is>
      </c>
      <c r="N53" s="76" t="inlineStr">
        <is>
          <t>-</t>
        </is>
      </c>
      <c r="O53" s="12" t="inlineStr">
        <is>
          <t>なし</t>
        </is>
      </c>
      <c r="P53" s="12" t="inlineStr">
        <is>
          <t>-</t>
        </is>
      </c>
      <c r="Q53" s="12" t="inlineStr">
        <is>
          <t>-</t>
        </is>
      </c>
      <c r="R53" s="77" t="inlineStr">
        <is>
          <t>-</t>
        </is>
      </c>
      <c r="S53" s="1" t="inlineStr">
        <is>
          <t>-</t>
        </is>
      </c>
    </row>
    <row r="54" hidden="1" s="79">
      <c r="A54" s="74" t="n">
        <v>46135</v>
      </c>
      <c r="B54" s="12" t="inlineStr">
        <is>
          <t>フック</t>
        </is>
      </c>
      <c r="C54" s="20" t="n">
        <v>0.3541666666666667</v>
      </c>
      <c r="D54" s="20" t="n">
        <v>0.7291666666666666</v>
      </c>
      <c r="E54" s="20" t="n">
        <v>0</v>
      </c>
      <c r="F54" s="12" t="inlineStr">
        <is>
          <t>本社</t>
        </is>
      </c>
      <c r="G54" s="12" t="inlineStr">
        <is>
          <t>本社</t>
        </is>
      </c>
      <c r="H54" s="12" t="inlineStr">
        <is>
          <t>助手</t>
        </is>
      </c>
      <c r="I54" s="59" t="inlineStr">
        <is>
          <t>開発</t>
        </is>
      </c>
      <c r="J54" s="1" t="inlineStr">
        <is>
          <t>開発関係</t>
        </is>
      </c>
      <c r="K54" s="14" t="inlineStr">
        <is>
          <t>打ち合わせ(人見さんが作ってくれたソフトの説明、錢高組 Revit講習の反省会)</t>
        </is>
      </c>
      <c r="L54" s="75" t="n">
        <v>2</v>
      </c>
      <c r="M54" s="12" t="inlineStr">
        <is>
          <t>なし</t>
        </is>
      </c>
      <c r="N54" s="76" t="inlineStr">
        <is>
          <t>-</t>
        </is>
      </c>
      <c r="O54" s="12" t="inlineStr">
        <is>
          <t>なし</t>
        </is>
      </c>
      <c r="P54" s="12" t="inlineStr">
        <is>
          <t>-</t>
        </is>
      </c>
      <c r="Q54" s="12" t="inlineStr">
        <is>
          <t>-</t>
        </is>
      </c>
      <c r="R54" s="77" t="inlineStr">
        <is>
          <t>-</t>
        </is>
      </c>
      <c r="S54" s="1" t="inlineStr">
        <is>
          <t>-</t>
        </is>
      </c>
    </row>
    <row r="55" hidden="1" s="79">
      <c r="A55" s="74" t="n">
        <v>46135</v>
      </c>
      <c r="B55" s="12" t="inlineStr">
        <is>
          <t>フック</t>
        </is>
      </c>
      <c r="C55" s="20" t="inlineStr">
        <is>
          <t>-</t>
        </is>
      </c>
      <c r="D55" s="20" t="inlineStr">
        <is>
          <t>-</t>
        </is>
      </c>
      <c r="E55" s="20" t="inlineStr">
        <is>
          <t>-</t>
        </is>
      </c>
      <c r="F55" s="12" t="inlineStr">
        <is>
          <t>-</t>
        </is>
      </c>
      <c r="G55" s="12" t="inlineStr">
        <is>
          <t>-</t>
        </is>
      </c>
      <c r="H55" s="12" t="inlineStr">
        <is>
          <t>助手</t>
        </is>
      </c>
      <c r="I55" s="59" t="inlineStr">
        <is>
          <t>RD28</t>
        </is>
      </c>
      <c r="J55" s="1" t="inlineStr">
        <is>
          <t>小型ドローン</t>
        </is>
      </c>
      <c r="K55" s="14" t="inlineStr">
        <is>
          <t>部品の配置をシミュレーション</t>
        </is>
      </c>
      <c r="L55" s="75" t="n">
        <v>5</v>
      </c>
      <c r="M55" s="12" t="inlineStr">
        <is>
          <t>AUTODESK</t>
        </is>
      </c>
      <c r="N55" s="76" t="n">
        <v>1750</v>
      </c>
      <c r="O55" s="12" t="inlineStr">
        <is>
          <t>なし</t>
        </is>
      </c>
      <c r="P55" s="12" t="inlineStr">
        <is>
          <t>-</t>
        </is>
      </c>
      <c r="Q55" s="12" t="inlineStr">
        <is>
          <t>-</t>
        </is>
      </c>
      <c r="R55" s="77" t="inlineStr">
        <is>
          <t>-</t>
        </is>
      </c>
      <c r="S55" s="1" t="inlineStr">
        <is>
          <t>-</t>
        </is>
      </c>
    </row>
    <row r="56" hidden="1" s="79">
      <c r="A56" s="74" t="n">
        <v>46135</v>
      </c>
      <c r="B56" s="12" t="inlineStr">
        <is>
          <t>フック</t>
        </is>
      </c>
      <c r="C56" s="20" t="inlineStr">
        <is>
          <t>-</t>
        </is>
      </c>
      <c r="D56" s="20" t="inlineStr">
        <is>
          <t>-</t>
        </is>
      </c>
      <c r="E56" s="20" t="inlineStr">
        <is>
          <t>-</t>
        </is>
      </c>
      <c r="F56" s="12" t="inlineStr">
        <is>
          <t>-</t>
        </is>
      </c>
      <c r="G56" s="12" t="inlineStr">
        <is>
          <t>-</t>
        </is>
      </c>
      <c r="H56" s="12" t="inlineStr">
        <is>
          <t>助手</t>
        </is>
      </c>
      <c r="I56" s="12" t="inlineStr">
        <is>
          <t>営業</t>
        </is>
      </c>
      <c r="J56" s="12" t="inlineStr">
        <is>
          <t>営業</t>
        </is>
      </c>
      <c r="K56" s="14" t="inlineStr">
        <is>
          <t>錢高組 テイン様から質問いただいていたコルク＋の問題を検証</t>
        </is>
      </c>
      <c r="L56" s="75" t="n">
        <v>1</v>
      </c>
      <c r="M56" s="12" t="inlineStr">
        <is>
          <t>AUTODESK</t>
        </is>
      </c>
      <c r="N56" s="76" t="n">
        <v>1750</v>
      </c>
      <c r="O56" s="12" t="inlineStr">
        <is>
          <t>なし</t>
        </is>
      </c>
      <c r="P56" s="12" t="inlineStr">
        <is>
          <t>-</t>
        </is>
      </c>
      <c r="Q56" s="12" t="inlineStr">
        <is>
          <t>-</t>
        </is>
      </c>
      <c r="R56" s="77" t="inlineStr">
        <is>
          <t>-</t>
        </is>
      </c>
      <c r="S56" s="1" t="inlineStr">
        <is>
          <t>-</t>
        </is>
      </c>
    </row>
    <row r="57" hidden="1" s="79">
      <c r="A57" s="74" t="n">
        <v>46135</v>
      </c>
      <c r="B57" s="12" t="inlineStr">
        <is>
          <t>人見</t>
        </is>
      </c>
      <c r="C57" s="20" t="n">
        <v>0.3541666666666667</v>
      </c>
      <c r="D57" s="20" t="n">
        <v>0.7291666666666666</v>
      </c>
      <c r="E57" s="20" t="n">
        <v>0</v>
      </c>
      <c r="F57" s="12" t="inlineStr">
        <is>
          <t>本社</t>
        </is>
      </c>
      <c r="G57" s="12" t="inlineStr">
        <is>
          <t>本社</t>
        </is>
      </c>
      <c r="H57" s="12" t="inlineStr">
        <is>
          <t>助手</t>
        </is>
      </c>
      <c r="I57" s="59" t="inlineStr">
        <is>
          <t>開発</t>
        </is>
      </c>
      <c r="J57" s="1" t="inlineStr">
        <is>
          <t>開発関係</t>
        </is>
      </c>
      <c r="K57" s="14" t="inlineStr">
        <is>
          <t>打ち合わせ(VPN解説、錢高組 Revit講習の反省会)</t>
        </is>
      </c>
      <c r="L57" s="75" t="n">
        <v>2</v>
      </c>
      <c r="M57" s="12" t="inlineStr">
        <is>
          <t>なし</t>
        </is>
      </c>
      <c r="N57" s="76" t="inlineStr">
        <is>
          <t>-</t>
        </is>
      </c>
      <c r="O57" s="12" t="inlineStr">
        <is>
          <t>なし</t>
        </is>
      </c>
      <c r="P57" s="12" t="inlineStr">
        <is>
          <t>-</t>
        </is>
      </c>
      <c r="Q57" s="12" t="inlineStr">
        <is>
          <t>-</t>
        </is>
      </c>
      <c r="R57" s="77" t="inlineStr">
        <is>
          <t>-</t>
        </is>
      </c>
      <c r="S57" s="1" t="inlineStr">
        <is>
          <t>-</t>
        </is>
      </c>
    </row>
    <row r="58" hidden="1" s="79">
      <c r="A58" s="74" t="n">
        <v>46135</v>
      </c>
      <c r="B58" s="12" t="inlineStr">
        <is>
          <t>人見</t>
        </is>
      </c>
      <c r="C58" s="20" t="inlineStr">
        <is>
          <t>-</t>
        </is>
      </c>
      <c r="D58" s="20" t="inlineStr">
        <is>
          <t>-</t>
        </is>
      </c>
      <c r="E58" s="20" t="inlineStr">
        <is>
          <t>-</t>
        </is>
      </c>
      <c r="F58" s="12" t="inlineStr">
        <is>
          <t>-</t>
        </is>
      </c>
      <c r="G58" s="12" t="inlineStr">
        <is>
          <t>-</t>
        </is>
      </c>
      <c r="H58" s="12" t="inlineStr">
        <is>
          <t>助手</t>
        </is>
      </c>
      <c r="I58" s="59" t="inlineStr">
        <is>
          <t>事務</t>
        </is>
      </c>
      <c r="J58" s="1" t="inlineStr">
        <is>
          <t>事務</t>
        </is>
      </c>
      <c r="K58" s="14" t="inlineStr">
        <is>
          <t>第一土木HP更新</t>
        </is>
      </c>
      <c r="L58" s="75" t="n">
        <v>1</v>
      </c>
      <c r="M58" s="12" t="inlineStr">
        <is>
          <t>なし</t>
        </is>
      </c>
      <c r="N58" s="76" t="inlineStr">
        <is>
          <t>-</t>
        </is>
      </c>
      <c r="O58" s="12" t="inlineStr">
        <is>
          <t>なし</t>
        </is>
      </c>
      <c r="P58" s="12" t="inlineStr">
        <is>
          <t>-</t>
        </is>
      </c>
      <c r="Q58" s="12" t="inlineStr">
        <is>
          <t>-</t>
        </is>
      </c>
      <c r="R58" s="77" t="inlineStr">
        <is>
          <t>-</t>
        </is>
      </c>
      <c r="S58" s="1" t="inlineStr">
        <is>
          <t>-</t>
        </is>
      </c>
    </row>
    <row r="59" hidden="1" s="79">
      <c r="A59" s="74" t="n">
        <v>46135</v>
      </c>
      <c r="B59" s="12" t="inlineStr">
        <is>
          <t>人見</t>
        </is>
      </c>
      <c r="C59" s="20" t="inlineStr">
        <is>
          <t>-</t>
        </is>
      </c>
      <c r="D59" s="20" t="inlineStr">
        <is>
          <t>-</t>
        </is>
      </c>
      <c r="E59" s="20" t="inlineStr">
        <is>
          <t>-</t>
        </is>
      </c>
      <c r="F59" s="12" t="inlineStr">
        <is>
          <t>-</t>
        </is>
      </c>
      <c r="G59" s="12" t="inlineStr">
        <is>
          <t>-</t>
        </is>
      </c>
      <c r="H59" s="12" t="inlineStr">
        <is>
          <t>助手</t>
        </is>
      </c>
      <c r="I59" s="59" t="inlineStr">
        <is>
          <t>事務</t>
        </is>
      </c>
      <c r="J59" s="1" t="inlineStr">
        <is>
          <t>事務</t>
        </is>
      </c>
      <c r="K59" s="14" t="inlineStr">
        <is>
          <t>アースHP更新</t>
        </is>
      </c>
      <c r="L59" s="75" t="n">
        <v>1</v>
      </c>
      <c r="M59" s="12" t="inlineStr">
        <is>
          <t>なし</t>
        </is>
      </c>
      <c r="N59" s="76" t="inlineStr">
        <is>
          <t>-</t>
        </is>
      </c>
      <c r="O59" s="12" t="inlineStr">
        <is>
          <t>なし</t>
        </is>
      </c>
      <c r="P59" s="12" t="inlineStr">
        <is>
          <t>-</t>
        </is>
      </c>
      <c r="Q59" s="12" t="inlineStr">
        <is>
          <t>-</t>
        </is>
      </c>
      <c r="R59" s="77" t="inlineStr">
        <is>
          <t>-</t>
        </is>
      </c>
      <c r="S59" s="1" t="inlineStr">
        <is>
          <t>-</t>
        </is>
      </c>
    </row>
    <row r="60" hidden="1" s="79">
      <c r="A60" s="74" t="n">
        <v>46135</v>
      </c>
      <c r="B60" s="12" t="inlineStr">
        <is>
          <t>人見</t>
        </is>
      </c>
      <c r="C60" s="20" t="inlineStr">
        <is>
          <t>-</t>
        </is>
      </c>
      <c r="D60" s="20" t="inlineStr">
        <is>
          <t>-</t>
        </is>
      </c>
      <c r="E60" s="20" t="inlineStr">
        <is>
          <t>-</t>
        </is>
      </c>
      <c r="F60" s="12" t="inlineStr">
        <is>
          <t>-</t>
        </is>
      </c>
      <c r="G60" s="12" t="inlineStr">
        <is>
          <t>-</t>
        </is>
      </c>
      <c r="H60" s="12" t="inlineStr">
        <is>
          <t>助手</t>
        </is>
      </c>
      <c r="I60" s="59" t="inlineStr">
        <is>
          <t>開発</t>
        </is>
      </c>
      <c r="J60" s="1" t="inlineStr">
        <is>
          <t>開発関係</t>
        </is>
      </c>
      <c r="K60" s="14" t="inlineStr">
        <is>
          <t>VPNの学習</t>
        </is>
      </c>
      <c r="L60" s="75" t="n">
        <v>1</v>
      </c>
      <c r="M60" s="12" t="inlineStr">
        <is>
          <t>なし</t>
        </is>
      </c>
      <c r="N60" s="76" t="inlineStr">
        <is>
          <t>-</t>
        </is>
      </c>
      <c r="O60" s="12" t="inlineStr">
        <is>
          <t>なし</t>
        </is>
      </c>
      <c r="P60" s="12" t="inlineStr">
        <is>
          <t>-</t>
        </is>
      </c>
      <c r="Q60" s="12" t="inlineStr">
        <is>
          <t>-</t>
        </is>
      </c>
      <c r="R60" s="77" t="inlineStr">
        <is>
          <t>-</t>
        </is>
      </c>
      <c r="S60" s="1" t="inlineStr">
        <is>
          <t>-</t>
        </is>
      </c>
    </row>
    <row r="61" hidden="1" s="79">
      <c r="A61" s="74" t="n">
        <v>46135</v>
      </c>
      <c r="B61" s="12" t="inlineStr">
        <is>
          <t>人見</t>
        </is>
      </c>
      <c r="C61" s="20" t="inlineStr">
        <is>
          <t>-</t>
        </is>
      </c>
      <c r="D61" s="20" t="inlineStr">
        <is>
          <t>-</t>
        </is>
      </c>
      <c r="E61" s="20" t="inlineStr">
        <is>
          <t>-</t>
        </is>
      </c>
      <c r="F61" s="12" t="inlineStr">
        <is>
          <t>-</t>
        </is>
      </c>
      <c r="G61" s="12" t="inlineStr">
        <is>
          <t>-</t>
        </is>
      </c>
      <c r="H61" s="12" t="inlineStr">
        <is>
          <t>助手</t>
        </is>
      </c>
      <c r="I61" s="59" t="inlineStr">
        <is>
          <t>開発</t>
        </is>
      </c>
      <c r="J61" s="1" t="inlineStr">
        <is>
          <t>開発関係</t>
        </is>
      </c>
      <c r="K61" s="14" t="inlineStr">
        <is>
          <t>MissionPlannnerEAのAndroid対応研究</t>
        </is>
      </c>
      <c r="L61" s="75" t="n">
        <v>3</v>
      </c>
      <c r="M61" s="12" t="inlineStr">
        <is>
          <t>なし</t>
        </is>
      </c>
      <c r="N61" s="76" t="inlineStr">
        <is>
          <t>-</t>
        </is>
      </c>
      <c r="O61" s="12" t="inlineStr">
        <is>
          <t>なし</t>
        </is>
      </c>
      <c r="P61" s="12" t="inlineStr">
        <is>
          <t>-</t>
        </is>
      </c>
      <c r="Q61" s="12" t="inlineStr">
        <is>
          <t>-</t>
        </is>
      </c>
      <c r="R61" s="77" t="inlineStr">
        <is>
          <t>-</t>
        </is>
      </c>
      <c r="S61" s="1" t="inlineStr">
        <is>
          <t>-</t>
        </is>
      </c>
    </row>
    <row r="62" hidden="1" s="79">
      <c r="A62" s="74" t="n">
        <v>46135</v>
      </c>
      <c r="B62" s="12" t="inlineStr">
        <is>
          <t>天野</t>
        </is>
      </c>
      <c r="C62" s="20" t="n">
        <v>0.3541666666666667</v>
      </c>
      <c r="D62" s="20" t="n">
        <v>0.7291666666666666</v>
      </c>
      <c r="E62" s="20" t="n">
        <v>0</v>
      </c>
      <c r="F62" s="12" t="inlineStr">
        <is>
          <t>本社</t>
        </is>
      </c>
      <c r="G62" s="12" t="inlineStr">
        <is>
          <t>本社</t>
        </is>
      </c>
      <c r="H62" s="12" t="inlineStr">
        <is>
          <t>助手</t>
        </is>
      </c>
      <c r="I62" s="59" t="inlineStr">
        <is>
          <t>開発</t>
        </is>
      </c>
      <c r="J62" s="1" t="inlineStr">
        <is>
          <t>開発関係</t>
        </is>
      </c>
      <c r="K62" s="14" t="inlineStr">
        <is>
          <t>打ち合わせ(人見さんが作ってくれたソフトの説明、錢高組 Revit講習の反省会)</t>
        </is>
      </c>
      <c r="L62" s="75" t="n">
        <v>2</v>
      </c>
      <c r="M62" s="12" t="inlineStr">
        <is>
          <t>なし</t>
        </is>
      </c>
      <c r="N62" s="76" t="inlineStr">
        <is>
          <t>-</t>
        </is>
      </c>
      <c r="O62" s="12" t="inlineStr">
        <is>
          <t>なし</t>
        </is>
      </c>
      <c r="P62" s="12" t="inlineStr">
        <is>
          <t>-</t>
        </is>
      </c>
      <c r="Q62" s="12" t="inlineStr">
        <is>
          <t>-</t>
        </is>
      </c>
      <c r="R62" s="77" t="inlineStr">
        <is>
          <t>-</t>
        </is>
      </c>
      <c r="S62" s="1" t="inlineStr">
        <is>
          <t>-</t>
        </is>
      </c>
    </row>
    <row r="63" hidden="1" s="79">
      <c r="A63" s="74" t="n">
        <v>46135</v>
      </c>
      <c r="B63" s="12" t="inlineStr">
        <is>
          <t>天野</t>
        </is>
      </c>
      <c r="C63" s="20" t="inlineStr">
        <is>
          <t>-</t>
        </is>
      </c>
      <c r="D63" s="20" t="inlineStr">
        <is>
          <t>-</t>
        </is>
      </c>
      <c r="E63" s="20" t="inlineStr">
        <is>
          <t>-</t>
        </is>
      </c>
      <c r="F63" s="12" t="inlineStr">
        <is>
          <t>-</t>
        </is>
      </c>
      <c r="G63" s="12" t="inlineStr">
        <is>
          <t>-</t>
        </is>
      </c>
      <c r="H63" s="12" t="inlineStr">
        <is>
          <t>助手</t>
        </is>
      </c>
      <c r="I63" s="59" t="inlineStr">
        <is>
          <t>研修</t>
        </is>
      </c>
      <c r="J63" s="1" t="inlineStr">
        <is>
          <t>研修</t>
        </is>
      </c>
      <c r="K63" s="14" t="inlineStr">
        <is>
          <t>Revit学習　樋門モデル作成</t>
        </is>
      </c>
      <c r="L63" s="75" t="n">
        <v>6</v>
      </c>
      <c r="M63" s="12" t="inlineStr">
        <is>
          <t>AUTODESK</t>
        </is>
      </c>
      <c r="N63" s="76" t="n">
        <v>1750</v>
      </c>
      <c r="O63" s="12" t="inlineStr">
        <is>
          <t>なし</t>
        </is>
      </c>
      <c r="P63" s="12" t="inlineStr">
        <is>
          <t>-</t>
        </is>
      </c>
      <c r="Q63" s="12" t="inlineStr">
        <is>
          <t>-</t>
        </is>
      </c>
      <c r="R63" s="77" t="inlineStr">
        <is>
          <t>-</t>
        </is>
      </c>
      <c r="S63" s="1" t="inlineStr">
        <is>
          <t>-</t>
        </is>
      </c>
    </row>
    <row r="64" hidden="1" s="79">
      <c r="A64" s="74" t="n">
        <v>46135</v>
      </c>
      <c r="B64" s="12" t="inlineStr">
        <is>
          <t>内藤</t>
        </is>
      </c>
      <c r="C64" s="20" t="inlineStr">
        <is>
          <t>-</t>
        </is>
      </c>
      <c r="D64" s="20" t="inlineStr">
        <is>
          <t>-</t>
        </is>
      </c>
      <c r="E64" s="20" t="inlineStr">
        <is>
          <t>-</t>
        </is>
      </c>
      <c r="F64" s="12" t="inlineStr">
        <is>
          <t>-</t>
        </is>
      </c>
      <c r="G64" s="12" t="inlineStr">
        <is>
          <t>-</t>
        </is>
      </c>
      <c r="H64" s="12" t="inlineStr">
        <is>
          <t>助手</t>
        </is>
      </c>
      <c r="I64" s="59" t="inlineStr">
        <is>
          <t>EA134</t>
        </is>
      </c>
      <c r="J64" s="1" t="inlineStr">
        <is>
          <t>教材作成</t>
        </is>
      </c>
      <c r="K64" s="14" t="inlineStr">
        <is>
          <t>錢高組　講習会の報告会など</t>
        </is>
      </c>
      <c r="L64" s="75" t="n">
        <v>2</v>
      </c>
      <c r="M64" s="12" t="inlineStr">
        <is>
          <t>なし</t>
        </is>
      </c>
      <c r="N64" s="76" t="inlineStr">
        <is>
          <t>-</t>
        </is>
      </c>
      <c r="O64" s="12" t="inlineStr">
        <is>
          <t>なし</t>
        </is>
      </c>
      <c r="P64" s="12" t="inlineStr">
        <is>
          <t>-</t>
        </is>
      </c>
      <c r="Q64" s="12" t="inlineStr">
        <is>
          <t>-</t>
        </is>
      </c>
      <c r="R64" s="77" t="inlineStr">
        <is>
          <t>-</t>
        </is>
      </c>
      <c r="S64" s="1" t="inlineStr">
        <is>
          <t>-</t>
        </is>
      </c>
    </row>
    <row r="65" hidden="1" s="79">
      <c r="A65" s="74" t="n">
        <v>46135</v>
      </c>
      <c r="B65" s="12" t="inlineStr">
        <is>
          <t>内藤</t>
        </is>
      </c>
      <c r="C65" s="20" t="inlineStr">
        <is>
          <t>-</t>
        </is>
      </c>
      <c r="D65" s="20" t="inlineStr">
        <is>
          <t>-</t>
        </is>
      </c>
      <c r="E65" s="20" t="inlineStr">
        <is>
          <t>-</t>
        </is>
      </c>
      <c r="F65" s="12" t="inlineStr">
        <is>
          <t>-</t>
        </is>
      </c>
      <c r="G65" s="12" t="inlineStr">
        <is>
          <t>-</t>
        </is>
      </c>
      <c r="H65" s="12" t="inlineStr">
        <is>
          <t>助手</t>
        </is>
      </c>
      <c r="I65" s="38" t="inlineStr">
        <is>
          <t>営業</t>
        </is>
      </c>
      <c r="J65" s="39" t="inlineStr">
        <is>
          <t>営業</t>
        </is>
      </c>
      <c r="K65" s="14" t="inlineStr">
        <is>
          <t>事業プランの検討</t>
        </is>
      </c>
      <c r="L65" s="75" t="n">
        <v>1</v>
      </c>
      <c r="M65" s="12" t="inlineStr">
        <is>
          <t>なし</t>
        </is>
      </c>
      <c r="N65" s="76" t="inlineStr">
        <is>
          <t>-</t>
        </is>
      </c>
      <c r="O65" s="12" t="inlineStr">
        <is>
          <t>なし</t>
        </is>
      </c>
      <c r="P65" s="12" t="inlineStr">
        <is>
          <t>-</t>
        </is>
      </c>
      <c r="Q65" s="12" t="inlineStr">
        <is>
          <t>-</t>
        </is>
      </c>
      <c r="R65" s="77" t="inlineStr">
        <is>
          <t>-</t>
        </is>
      </c>
      <c r="S65" s="1" t="inlineStr">
        <is>
          <t>-</t>
        </is>
      </c>
    </row>
    <row r="66" hidden="1" s="79">
      <c r="A66" s="74" t="n">
        <v>46135</v>
      </c>
      <c r="B66" s="12" t="inlineStr">
        <is>
          <t>内藤</t>
        </is>
      </c>
      <c r="C66" s="20" t="inlineStr">
        <is>
          <t>-</t>
        </is>
      </c>
      <c r="D66" s="20" t="inlineStr">
        <is>
          <t>-</t>
        </is>
      </c>
      <c r="E66" s="20" t="inlineStr">
        <is>
          <t>-</t>
        </is>
      </c>
      <c r="F66" s="12" t="inlineStr">
        <is>
          <t>-</t>
        </is>
      </c>
      <c r="G66" s="12" t="inlineStr">
        <is>
          <t>-</t>
        </is>
      </c>
      <c r="H66" s="12" t="inlineStr">
        <is>
          <t>助手</t>
        </is>
      </c>
      <c r="I66" s="59" t="inlineStr">
        <is>
          <t>EA157</t>
        </is>
      </c>
      <c r="J66" s="1" t="inlineStr">
        <is>
          <t>蛙ヶ谷基準点</t>
        </is>
      </c>
      <c r="K66" s="14" t="inlineStr">
        <is>
          <t>24日の計測準備</t>
        </is>
      </c>
      <c r="L66" s="75" t="n">
        <v>1</v>
      </c>
      <c r="M66" s="12" t="inlineStr">
        <is>
          <t>なし</t>
        </is>
      </c>
      <c r="N66" s="76" t="inlineStr">
        <is>
          <t>-</t>
        </is>
      </c>
      <c r="O66" s="12" t="inlineStr">
        <is>
          <t>なし</t>
        </is>
      </c>
      <c r="P66" s="12" t="inlineStr">
        <is>
          <t>-</t>
        </is>
      </c>
      <c r="Q66" s="12" t="inlineStr">
        <is>
          <t>-</t>
        </is>
      </c>
      <c r="R66" s="77" t="inlineStr">
        <is>
          <t>-</t>
        </is>
      </c>
      <c r="S66" s="1" t="inlineStr">
        <is>
          <t>-</t>
        </is>
      </c>
    </row>
    <row r="67" hidden="1" s="79">
      <c r="A67" s="74" t="n">
        <v>46135</v>
      </c>
      <c r="B67" s="12" t="inlineStr">
        <is>
          <t>バタイ</t>
        </is>
      </c>
      <c r="C67" s="20" t="n">
        <v>0.3125</v>
      </c>
      <c r="D67" s="20" t="n">
        <v>0.7083333333333334</v>
      </c>
      <c r="E67" s="20" t="n">
        <v>0.04166666666666666</v>
      </c>
      <c r="F67" s="12" t="inlineStr">
        <is>
          <t>本社</t>
        </is>
      </c>
      <c r="G67" s="12" t="inlineStr">
        <is>
          <t>本社</t>
        </is>
      </c>
      <c r="H67" s="12" t="inlineStr">
        <is>
          <t>助手</t>
        </is>
      </c>
      <c r="I67" s="12" t="inlineStr">
        <is>
          <t>研修</t>
        </is>
      </c>
      <c r="J67" s="12" t="inlineStr">
        <is>
          <t>研修</t>
        </is>
      </c>
      <c r="K67" s="14" t="inlineStr">
        <is>
          <t>REVITマニュアル作成</t>
        </is>
      </c>
      <c r="L67" s="75" t="n">
        <v>8</v>
      </c>
      <c r="M67" s="12" t="inlineStr">
        <is>
          <t>なし</t>
        </is>
      </c>
      <c r="N67" s="76" t="inlineStr">
        <is>
          <t>-</t>
        </is>
      </c>
      <c r="O67" s="12" t="inlineStr">
        <is>
          <t>なし</t>
        </is>
      </c>
      <c r="P67" s="12" t="inlineStr">
        <is>
          <t>-</t>
        </is>
      </c>
      <c r="Q67" s="12" t="inlineStr">
        <is>
          <t>-</t>
        </is>
      </c>
      <c r="R67" s="77" t="inlineStr">
        <is>
          <t>-</t>
        </is>
      </c>
      <c r="S67" s="1" t="inlineStr">
        <is>
          <t>-</t>
        </is>
      </c>
    </row>
    <row r="68" hidden="1" s="79">
      <c r="A68" s="74" t="n">
        <v>46135</v>
      </c>
      <c r="B68" s="12" t="inlineStr">
        <is>
          <t>仲</t>
        </is>
      </c>
      <c r="C68" s="20" t="n">
        <v>0.3541666666666667</v>
      </c>
      <c r="D68" s="20" t="n">
        <v>0.7291666666666666</v>
      </c>
      <c r="E68" s="20" t="n">
        <v>0</v>
      </c>
      <c r="F68" s="12" t="inlineStr">
        <is>
          <t>本社</t>
        </is>
      </c>
      <c r="G68" s="12" t="inlineStr">
        <is>
          <t>本社</t>
        </is>
      </c>
      <c r="H68" s="12" t="inlineStr">
        <is>
          <t>助手</t>
        </is>
      </c>
      <c r="I68" s="38" t="inlineStr">
        <is>
          <t>EA94</t>
        </is>
      </c>
      <c r="J68" s="39" t="inlineStr">
        <is>
          <t>なにわ筋</t>
        </is>
      </c>
      <c r="K68" s="14" t="inlineStr">
        <is>
          <t>UQWiFi手続き諸々</t>
        </is>
      </c>
      <c r="L68" s="75" t="n">
        <v>2</v>
      </c>
      <c r="M68" s="12" t="inlineStr">
        <is>
          <t>なし</t>
        </is>
      </c>
      <c r="N68" s="76" t="inlineStr">
        <is>
          <t>-</t>
        </is>
      </c>
      <c r="O68" s="12" t="inlineStr">
        <is>
          <t>なし</t>
        </is>
      </c>
      <c r="P68" s="12" t="inlineStr">
        <is>
          <t>-</t>
        </is>
      </c>
      <c r="Q68" s="12" t="inlineStr">
        <is>
          <t>-</t>
        </is>
      </c>
      <c r="R68" s="77" t="inlineStr">
        <is>
          <t>-</t>
        </is>
      </c>
      <c r="S68" s="1" t="inlineStr">
        <is>
          <t>-</t>
        </is>
      </c>
    </row>
    <row r="69" hidden="1" s="79">
      <c r="A69" s="74" t="n">
        <v>46135</v>
      </c>
      <c r="B69" s="12" t="inlineStr">
        <is>
          <t>仲</t>
        </is>
      </c>
      <c r="C69" s="20" t="inlineStr">
        <is>
          <t>-</t>
        </is>
      </c>
      <c r="D69" s="20" t="inlineStr">
        <is>
          <t>-</t>
        </is>
      </c>
      <c r="E69" s="20" t="inlineStr">
        <is>
          <t>-</t>
        </is>
      </c>
      <c r="F69" s="12" t="inlineStr">
        <is>
          <t>-</t>
        </is>
      </c>
      <c r="G69" s="12" t="inlineStr">
        <is>
          <t>-</t>
        </is>
      </c>
      <c r="H69" s="12" t="inlineStr">
        <is>
          <t>助手</t>
        </is>
      </c>
      <c r="I69" s="59" t="inlineStr">
        <is>
          <t>EA94</t>
        </is>
      </c>
      <c r="J69" s="1" t="inlineStr">
        <is>
          <t>なにわ筋</t>
        </is>
      </c>
      <c r="K69" s="14" t="inlineStr">
        <is>
          <t>KOLC+ラベル表示修正(EATAP)</t>
        </is>
      </c>
      <c r="L69" s="75" t="n">
        <v>4</v>
      </c>
      <c r="M69" s="12" t="inlineStr">
        <is>
          <t>なし</t>
        </is>
      </c>
      <c r="N69" s="76" t="inlineStr">
        <is>
          <t>-</t>
        </is>
      </c>
      <c r="O69" s="12" t="inlineStr">
        <is>
          <t>なし</t>
        </is>
      </c>
      <c r="P69" s="12" t="inlineStr">
        <is>
          <t>-</t>
        </is>
      </c>
      <c r="Q69" s="12" t="inlineStr">
        <is>
          <t>-</t>
        </is>
      </c>
      <c r="R69" s="77" t="inlineStr">
        <is>
          <t>-</t>
        </is>
      </c>
      <c r="S69" s="1" t="inlineStr">
        <is>
          <t>-</t>
        </is>
      </c>
    </row>
    <row r="70" hidden="1" s="79">
      <c r="A70" s="74" t="n">
        <v>46135</v>
      </c>
      <c r="B70" s="12" t="inlineStr">
        <is>
          <t>仲</t>
        </is>
      </c>
      <c r="C70" s="20" t="inlineStr">
        <is>
          <t>-</t>
        </is>
      </c>
      <c r="D70" s="20" t="inlineStr">
        <is>
          <t>-</t>
        </is>
      </c>
      <c r="E70" s="20" t="inlineStr">
        <is>
          <t>-</t>
        </is>
      </c>
      <c r="F70" s="12" t="inlineStr">
        <is>
          <t>-</t>
        </is>
      </c>
      <c r="G70" s="12" t="inlineStr">
        <is>
          <t>-</t>
        </is>
      </c>
      <c r="H70" s="12" t="inlineStr">
        <is>
          <t>助手</t>
        </is>
      </c>
      <c r="I70" s="12" t="inlineStr">
        <is>
          <t>EA157</t>
        </is>
      </c>
      <c r="J70" s="12" t="inlineStr">
        <is>
          <t>蛙ヶ谷基準点</t>
        </is>
      </c>
      <c r="K70" s="14" t="inlineStr">
        <is>
          <t>24日の計測準備</t>
        </is>
      </c>
      <c r="L70" s="75" t="n">
        <v>1</v>
      </c>
      <c r="M70" s="12" t="inlineStr">
        <is>
          <t>なし</t>
        </is>
      </c>
      <c r="N70" s="76" t="inlineStr">
        <is>
          <t>-</t>
        </is>
      </c>
      <c r="O70" s="12" t="inlineStr">
        <is>
          <t>なし</t>
        </is>
      </c>
      <c r="P70" s="12" t="inlineStr">
        <is>
          <t>-</t>
        </is>
      </c>
      <c r="Q70" s="12" t="inlineStr">
        <is>
          <t>-</t>
        </is>
      </c>
      <c r="R70" s="77" t="inlineStr">
        <is>
          <t>-</t>
        </is>
      </c>
      <c r="S70" s="1" t="inlineStr">
        <is>
          <t>-</t>
        </is>
      </c>
    </row>
    <row r="71" hidden="1" s="79">
      <c r="A71" s="74" t="n">
        <v>46135</v>
      </c>
      <c r="B71" s="12" t="inlineStr">
        <is>
          <t>仲</t>
        </is>
      </c>
      <c r="C71" s="20" t="inlineStr">
        <is>
          <t>-</t>
        </is>
      </c>
      <c r="D71" s="20" t="inlineStr">
        <is>
          <t>-</t>
        </is>
      </c>
      <c r="E71" s="20" t="inlineStr">
        <is>
          <t>-</t>
        </is>
      </c>
      <c r="F71" s="12" t="inlineStr">
        <is>
          <t>-</t>
        </is>
      </c>
      <c r="G71" s="12" t="inlineStr">
        <is>
          <t>-</t>
        </is>
      </c>
      <c r="H71" s="12" t="inlineStr">
        <is>
          <t>助手</t>
        </is>
      </c>
      <c r="I71" s="38" t="inlineStr">
        <is>
          <t>営業</t>
        </is>
      </c>
      <c r="J71" s="39" t="inlineStr">
        <is>
          <t>営業</t>
        </is>
      </c>
      <c r="K71" s="14" t="inlineStr">
        <is>
          <t>錢高組　講習会の報告会など</t>
        </is>
      </c>
      <c r="L71" s="75" t="n">
        <v>1</v>
      </c>
      <c r="M71" s="12" t="inlineStr">
        <is>
          <t>なし</t>
        </is>
      </c>
      <c r="N71" s="76" t="inlineStr">
        <is>
          <t>-</t>
        </is>
      </c>
      <c r="O71" s="12" t="inlineStr">
        <is>
          <t>なし</t>
        </is>
      </c>
      <c r="P71" s="12" t="inlineStr">
        <is>
          <t>-</t>
        </is>
      </c>
      <c r="Q71" s="12" t="inlineStr">
        <is>
          <t>-</t>
        </is>
      </c>
      <c r="R71" s="77" t="inlineStr">
        <is>
          <t>-</t>
        </is>
      </c>
      <c r="S71" s="1" t="inlineStr">
        <is>
          <t>-</t>
        </is>
      </c>
    </row>
    <row r="72" hidden="1" s="79">
      <c r="A72" s="74" t="n">
        <v>46135</v>
      </c>
      <c r="B72" s="12" t="inlineStr">
        <is>
          <t>竹本</t>
        </is>
      </c>
      <c r="C72" s="20" t="n">
        <v>0.3541666666666667</v>
      </c>
      <c r="D72" s="20" t="n">
        <v>0.7291666666666666</v>
      </c>
      <c r="E72" s="20" t="n">
        <v>0</v>
      </c>
      <c r="F72" s="12" t="inlineStr">
        <is>
          <t>現場</t>
        </is>
      </c>
      <c r="G72" s="12" t="inlineStr">
        <is>
          <t>現場</t>
        </is>
      </c>
      <c r="H72" s="12" t="inlineStr">
        <is>
          <t>技師</t>
        </is>
      </c>
      <c r="I72" s="38" t="inlineStr">
        <is>
          <t>EA156</t>
        </is>
      </c>
      <c r="J72" s="39" t="inlineStr">
        <is>
          <t>R7寺田拡幅</t>
        </is>
      </c>
      <c r="K72" s="14" t="inlineStr">
        <is>
          <t>測量計画図作成</t>
        </is>
      </c>
      <c r="L72" s="75" t="n">
        <v>8</v>
      </c>
      <c r="M72" s="12" t="inlineStr">
        <is>
          <t>武蔵</t>
        </is>
      </c>
      <c r="N72" s="76" t="n">
        <v>480</v>
      </c>
      <c r="O72" s="12" t="inlineStr">
        <is>
          <t>なし</t>
        </is>
      </c>
      <c r="P72" s="12" t="inlineStr">
        <is>
          <t>-</t>
        </is>
      </c>
      <c r="Q72" s="12" t="inlineStr">
        <is>
          <t>-</t>
        </is>
      </c>
      <c r="R72" s="77" t="inlineStr">
        <is>
          <t>-</t>
        </is>
      </c>
      <c r="S72" s="1" t="inlineStr">
        <is>
          <t>-</t>
        </is>
      </c>
      <c r="T72" s="1" t="inlineStr">
        <is>
          <t>南丹事務所にて</t>
        </is>
      </c>
    </row>
    <row r="73" hidden="1" s="79">
      <c r="A73" s="74" t="n">
        <v>46135</v>
      </c>
      <c r="B73" s="12" t="inlineStr">
        <is>
          <t>ズイ</t>
        </is>
      </c>
      <c r="C73" s="20" t="n">
        <v>0.3125</v>
      </c>
      <c r="D73" s="20" t="n">
        <v>0.7291666666666666</v>
      </c>
      <c r="E73" s="20" t="n">
        <v>0.04166666666666666</v>
      </c>
      <c r="F73" s="12" t="inlineStr">
        <is>
          <t>本社</t>
        </is>
      </c>
      <c r="G73" s="12" t="inlineStr">
        <is>
          <t>本社</t>
        </is>
      </c>
      <c r="H73" s="12" t="inlineStr">
        <is>
          <t>助手</t>
        </is>
      </c>
      <c r="I73" s="38" t="inlineStr">
        <is>
          <t>EA134</t>
        </is>
      </c>
      <c r="J73" s="39" t="inlineStr">
        <is>
          <t>教材作成</t>
        </is>
      </c>
      <c r="K73" s="14" t="inlineStr">
        <is>
          <t>Twinmotionによって施工ステップのガイドを作成</t>
        </is>
      </c>
      <c r="L73" s="75" t="n">
        <v>8.5</v>
      </c>
      <c r="M73" s="12" t="inlineStr">
        <is>
          <t>AUTODESK</t>
        </is>
      </c>
      <c r="N73" s="76" t="n">
        <v>1750</v>
      </c>
      <c r="O73" s="12" t="inlineStr">
        <is>
          <t>なし</t>
        </is>
      </c>
      <c r="P73" s="12" t="inlineStr">
        <is>
          <t>-</t>
        </is>
      </c>
      <c r="Q73" s="12" t="inlineStr">
        <is>
          <t>-</t>
        </is>
      </c>
      <c r="R73" s="77" t="inlineStr">
        <is>
          <t>-</t>
        </is>
      </c>
      <c r="S73" s="1" t="inlineStr">
        <is>
          <t>-</t>
        </is>
      </c>
    </row>
    <row r="74" hidden="1" s="79">
      <c r="A74" s="74" t="n">
        <v>46135</v>
      </c>
      <c r="B74" s="12" t="inlineStr">
        <is>
          <t>タイ</t>
        </is>
      </c>
      <c r="C74" s="20" t="n">
        <v>0.3541666666666667</v>
      </c>
      <c r="D74" s="20" t="n">
        <v>0.7291666666666666</v>
      </c>
      <c r="E74" s="20" t="n">
        <v>0</v>
      </c>
      <c r="F74" s="12" t="inlineStr">
        <is>
          <t>本社</t>
        </is>
      </c>
      <c r="G74" s="12" t="inlineStr">
        <is>
          <t>本社</t>
        </is>
      </c>
      <c r="H74" s="12" t="inlineStr">
        <is>
          <t>助手</t>
        </is>
      </c>
      <c r="I74" s="59" t="inlineStr">
        <is>
          <t>VT01</t>
        </is>
      </c>
      <c r="J74" s="1" t="inlineStr">
        <is>
          <t>駐在所</t>
        </is>
      </c>
      <c r="K74" s="14" t="inlineStr">
        <is>
          <t>ベトナムオンライン</t>
        </is>
      </c>
      <c r="L74" s="75" t="n">
        <v>0.5</v>
      </c>
      <c r="M74" s="12" t="inlineStr">
        <is>
          <t>なし</t>
        </is>
      </c>
      <c r="N74" s="76" t="inlineStr">
        <is>
          <t>-</t>
        </is>
      </c>
      <c r="O74" s="12" t="inlineStr">
        <is>
          <t>なし</t>
        </is>
      </c>
      <c r="P74" s="12" t="inlineStr">
        <is>
          <t>-</t>
        </is>
      </c>
      <c r="Q74" s="12" t="inlineStr">
        <is>
          <t>-</t>
        </is>
      </c>
      <c r="R74" s="77" t="inlineStr">
        <is>
          <t>-</t>
        </is>
      </c>
      <c r="S74" s="1" t="inlineStr">
        <is>
          <t>-</t>
        </is>
      </c>
    </row>
    <row r="75" hidden="1" s="79">
      <c r="A75" s="74" t="n">
        <v>46135</v>
      </c>
      <c r="B75" s="12" t="inlineStr">
        <is>
          <t>タイ</t>
        </is>
      </c>
      <c r="C75" s="20" t="inlineStr">
        <is>
          <t>-</t>
        </is>
      </c>
      <c r="D75" s="20" t="inlineStr">
        <is>
          <t>-</t>
        </is>
      </c>
      <c r="E75" s="20" t="inlineStr">
        <is>
          <t>-</t>
        </is>
      </c>
      <c r="F75" s="12" t="inlineStr">
        <is>
          <t>-</t>
        </is>
      </c>
      <c r="G75" s="12" t="inlineStr">
        <is>
          <t>-</t>
        </is>
      </c>
      <c r="H75" s="12" t="inlineStr">
        <is>
          <t>助手</t>
        </is>
      </c>
      <c r="I75" s="59" t="inlineStr">
        <is>
          <t>開発</t>
        </is>
      </c>
      <c r="J75" s="1" t="inlineStr">
        <is>
          <t>開発関係</t>
        </is>
      </c>
      <c r="K75" s="14" t="inlineStr">
        <is>
          <t>打ち合わせ(人見さんが作ってくれたソフトの説明、錢高組 Revit講習の反省会)</t>
        </is>
      </c>
      <c r="L75" s="75" t="n">
        <v>2</v>
      </c>
      <c r="M75" s="12" t="inlineStr">
        <is>
          <t>なし</t>
        </is>
      </c>
      <c r="N75" s="76" t="inlineStr">
        <is>
          <t>-</t>
        </is>
      </c>
      <c r="O75" s="12" t="inlineStr">
        <is>
          <t>なし</t>
        </is>
      </c>
      <c r="P75" s="12" t="inlineStr">
        <is>
          <t>-</t>
        </is>
      </c>
      <c r="Q75" s="12" t="inlineStr">
        <is>
          <t>-</t>
        </is>
      </c>
      <c r="R75" s="77" t="inlineStr">
        <is>
          <t>-</t>
        </is>
      </c>
      <c r="S75" s="1" t="inlineStr">
        <is>
          <t>-</t>
        </is>
      </c>
    </row>
    <row r="76" hidden="1" s="79">
      <c r="A76" s="74" t="n">
        <v>46135</v>
      </c>
      <c r="B76" s="12" t="inlineStr">
        <is>
          <t>タイ</t>
        </is>
      </c>
      <c r="C76" s="20" t="inlineStr">
        <is>
          <t>-</t>
        </is>
      </c>
      <c r="D76" s="20" t="inlineStr">
        <is>
          <t>-</t>
        </is>
      </c>
      <c r="E76" s="20" t="inlineStr">
        <is>
          <t>-</t>
        </is>
      </c>
      <c r="F76" s="12" t="inlineStr">
        <is>
          <t>-</t>
        </is>
      </c>
      <c r="G76" s="12" t="inlineStr">
        <is>
          <t>-</t>
        </is>
      </c>
      <c r="H76" s="12" t="inlineStr">
        <is>
          <t>助手</t>
        </is>
      </c>
      <c r="I76" s="59" t="inlineStr">
        <is>
          <t>EA156</t>
        </is>
      </c>
      <c r="J76" s="1" t="inlineStr">
        <is>
          <t>R7寺田拡幅</t>
        </is>
      </c>
      <c r="K76" s="14" t="inlineStr">
        <is>
          <t>寺田拡幅交差点の3Dモデル作成</t>
        </is>
      </c>
      <c r="L76" s="75" t="n">
        <v>5.5</v>
      </c>
      <c r="M76" s="12" t="inlineStr">
        <is>
          <t>AUTODESK</t>
        </is>
      </c>
      <c r="N76" s="76" t="n">
        <v>1750</v>
      </c>
      <c r="O76" s="12" t="inlineStr">
        <is>
          <t>なし</t>
        </is>
      </c>
      <c r="P76" s="12" t="inlineStr">
        <is>
          <t>-</t>
        </is>
      </c>
      <c r="Q76" s="12" t="inlineStr">
        <is>
          <t>-</t>
        </is>
      </c>
      <c r="R76" s="77" t="inlineStr">
        <is>
          <t>-</t>
        </is>
      </c>
      <c r="S76" s="1" t="inlineStr">
        <is>
          <t>-</t>
        </is>
      </c>
    </row>
    <row r="77" hidden="1" s="79">
      <c r="A77" s="74" t="n">
        <v>46135</v>
      </c>
      <c r="B77" s="12" t="inlineStr">
        <is>
          <t>南</t>
        </is>
      </c>
      <c r="C77" s="20" t="n">
        <v>0.3541666666666667</v>
      </c>
      <c r="D77" s="20" t="n">
        <v>0.7291666666666666</v>
      </c>
      <c r="E77" s="20" t="n">
        <v>0</v>
      </c>
      <c r="F77" s="12" t="inlineStr">
        <is>
          <t>本社</t>
        </is>
      </c>
      <c r="G77" s="12" t="inlineStr">
        <is>
          <t>本社</t>
        </is>
      </c>
      <c r="H77" s="12" t="inlineStr">
        <is>
          <t>助手</t>
        </is>
      </c>
      <c r="I77" s="59" t="inlineStr">
        <is>
          <t>開発</t>
        </is>
      </c>
      <c r="J77" s="1" t="inlineStr">
        <is>
          <t>開発関係</t>
        </is>
      </c>
      <c r="K77" s="14" t="inlineStr">
        <is>
          <t>打ち合わせ(VPN解説、錢高組 Revit講習の反省会)</t>
        </is>
      </c>
      <c r="L77" s="75" t="n">
        <v>2</v>
      </c>
      <c r="M77" s="12" t="inlineStr">
        <is>
          <t>なし</t>
        </is>
      </c>
      <c r="N77" s="76" t="inlineStr">
        <is>
          <t>-</t>
        </is>
      </c>
      <c r="O77" s="12" t="inlineStr">
        <is>
          <t>なし</t>
        </is>
      </c>
      <c r="P77" s="12" t="inlineStr">
        <is>
          <t>-</t>
        </is>
      </c>
      <c r="Q77" s="12" t="inlineStr">
        <is>
          <t>-</t>
        </is>
      </c>
      <c r="R77" s="77" t="inlineStr">
        <is>
          <t>-</t>
        </is>
      </c>
      <c r="S77" s="1" t="inlineStr">
        <is>
          <t>-</t>
        </is>
      </c>
    </row>
    <row r="78" hidden="1" s="79">
      <c r="A78" s="74" t="n">
        <v>46135</v>
      </c>
      <c r="B78" s="12" t="inlineStr">
        <is>
          <t>南</t>
        </is>
      </c>
      <c r="C78" s="20" t="inlineStr">
        <is>
          <t>-</t>
        </is>
      </c>
      <c r="D78" s="20" t="inlineStr">
        <is>
          <t>-</t>
        </is>
      </c>
      <c r="E78" s="20" t="inlineStr">
        <is>
          <t>-</t>
        </is>
      </c>
      <c r="F78" s="12" t="inlineStr">
        <is>
          <t>-</t>
        </is>
      </c>
      <c r="G78" s="12" t="inlineStr">
        <is>
          <t>-</t>
        </is>
      </c>
      <c r="H78" s="12" t="inlineStr">
        <is>
          <t>助手</t>
        </is>
      </c>
      <c r="I78" s="59" t="inlineStr">
        <is>
          <t>営業</t>
        </is>
      </c>
      <c r="J78" s="1" t="inlineStr">
        <is>
          <t>営業</t>
        </is>
      </c>
      <c r="K78" s="14" t="inlineStr">
        <is>
          <t>9号バックパック式計測の動画編集</t>
        </is>
      </c>
      <c r="L78" s="75" t="n">
        <v>6</v>
      </c>
      <c r="M78" s="12" t="inlineStr">
        <is>
          <t>なし</t>
        </is>
      </c>
      <c r="N78" s="76" t="inlineStr">
        <is>
          <t>-</t>
        </is>
      </c>
      <c r="O78" s="12" t="inlineStr">
        <is>
          <t>なし</t>
        </is>
      </c>
      <c r="P78" s="12" t="inlineStr">
        <is>
          <t>-</t>
        </is>
      </c>
      <c r="Q78" s="12" t="inlineStr">
        <is>
          <t>-</t>
        </is>
      </c>
      <c r="R78" s="77" t="inlineStr">
        <is>
          <t>-</t>
        </is>
      </c>
      <c r="S78" s="1" t="inlineStr">
        <is>
          <t>-</t>
        </is>
      </c>
    </row>
    <row r="79" hidden="1" s="79">
      <c r="A79" s="74" t="n">
        <v>46134</v>
      </c>
      <c r="B79" s="12" t="inlineStr">
        <is>
          <t>千原</t>
        </is>
      </c>
      <c r="C79" s="20" t="n">
        <v>0.3541666666666667</v>
      </c>
      <c r="D79" s="20" t="n">
        <v>0.7291666666666666</v>
      </c>
      <c r="E79" s="20" t="n">
        <v>0</v>
      </c>
      <c r="F79" s="12" t="inlineStr">
        <is>
          <t>リモート</t>
        </is>
      </c>
      <c r="G79" s="12" t="inlineStr">
        <is>
          <t>リモート</t>
        </is>
      </c>
      <c r="H79" s="12" t="inlineStr">
        <is>
          <t>助手</t>
        </is>
      </c>
      <c r="I79" s="14" t="inlineStr">
        <is>
          <t>研修</t>
        </is>
      </c>
      <c r="J79" s="12" t="inlineStr">
        <is>
          <t>研修</t>
        </is>
      </c>
      <c r="K79" s="14" t="inlineStr">
        <is>
          <t>Autodesk操作資料テンプレート作成・編集説明書作成</t>
        </is>
      </c>
      <c r="L79" s="75" t="n">
        <v>8</v>
      </c>
      <c r="M79" s="12" t="inlineStr">
        <is>
          <t>なし</t>
        </is>
      </c>
      <c r="N79" s="76" t="inlineStr">
        <is>
          <t>-</t>
        </is>
      </c>
      <c r="O79" s="12" t="inlineStr">
        <is>
          <t>なし</t>
        </is>
      </c>
      <c r="P79" s="12" t="inlineStr">
        <is>
          <t>-</t>
        </is>
      </c>
      <c r="Q79" s="12" t="inlineStr">
        <is>
          <t>-</t>
        </is>
      </c>
      <c r="R79" s="77" t="inlineStr">
        <is>
          <t>-</t>
        </is>
      </c>
      <c r="S79" s="1" t="inlineStr">
        <is>
          <t>-</t>
        </is>
      </c>
    </row>
    <row r="80" hidden="1" s="79">
      <c r="A80" s="74" t="n">
        <v>46135</v>
      </c>
      <c r="B80" s="12" t="inlineStr">
        <is>
          <t>千原</t>
        </is>
      </c>
      <c r="C80" s="20" t="n">
        <v>0.4166666666666667</v>
      </c>
      <c r="D80" s="20" t="n">
        <v>0.7916666666666666</v>
      </c>
      <c r="E80" s="20" t="n">
        <v>0.0625</v>
      </c>
      <c r="F80" s="12" t="inlineStr">
        <is>
          <t>リモート</t>
        </is>
      </c>
      <c r="G80" s="12" t="inlineStr">
        <is>
          <t>リモート</t>
        </is>
      </c>
      <c r="H80" s="12" t="inlineStr">
        <is>
          <t>助手</t>
        </is>
      </c>
      <c r="I80" s="14" t="inlineStr">
        <is>
          <t>研修</t>
        </is>
      </c>
      <c r="J80" s="12" t="inlineStr">
        <is>
          <t>研修</t>
        </is>
      </c>
      <c r="K80" s="14" t="inlineStr">
        <is>
          <t>Autodesk操作資料テンプレート作成・編集説明書作成</t>
        </is>
      </c>
      <c r="L80" s="75" t="n">
        <v>8</v>
      </c>
      <c r="M80" s="12" t="inlineStr">
        <is>
          <t>なし</t>
        </is>
      </c>
      <c r="N80" s="76" t="inlineStr">
        <is>
          <t>-</t>
        </is>
      </c>
      <c r="O80" s="12" t="inlineStr">
        <is>
          <t>なし</t>
        </is>
      </c>
      <c r="P80" s="12" t="inlineStr">
        <is>
          <t>-</t>
        </is>
      </c>
      <c r="Q80" s="12" t="inlineStr">
        <is>
          <t>-</t>
        </is>
      </c>
      <c r="R80" s="77" t="inlineStr">
        <is>
          <t>-</t>
        </is>
      </c>
      <c r="S80" s="1" t="inlineStr">
        <is>
          <t>-</t>
        </is>
      </c>
    </row>
    <row r="81" hidden="1" s="79">
      <c r="C81" s="20" t="n"/>
      <c r="D81" s="20" t="n"/>
      <c r="E81" s="20" t="n"/>
      <c r="I81" s="59" t="n"/>
      <c r="J81" s="1" t="n"/>
      <c r="K81" s="14" t="n"/>
    </row>
    <row r="82" hidden="1" s="79">
      <c r="C82" s="20" t="n"/>
      <c r="D82" s="20" t="n"/>
      <c r="E82" s="20" t="n"/>
      <c r="I82" s="14" t="n"/>
      <c r="J82" s="12" t="n"/>
      <c r="K82" s="14" t="n"/>
    </row>
    <row r="83" hidden="1" s="79">
      <c r="C83" s="20" t="n"/>
      <c r="D83" s="20" t="n"/>
      <c r="E83" s="20" t="n"/>
      <c r="I83" s="14" t="n"/>
      <c r="J83" s="12" t="n"/>
      <c r="K83" s="14" t="n"/>
    </row>
    <row r="84" hidden="1" s="79">
      <c r="C84" s="20" t="n"/>
      <c r="D84" s="20" t="n"/>
      <c r="E84" s="20" t="n"/>
    </row>
    <row r="85" hidden="1" s="79">
      <c r="C85" s="20" t="n"/>
      <c r="D85" s="20" t="n"/>
      <c r="E85" s="20" t="n"/>
      <c r="K85" s="14" t="n"/>
      <c r="N85" s="76" t="n"/>
    </row>
    <row r="86" hidden="1" s="79">
      <c r="C86" s="20" t="n"/>
      <c r="D86" s="20" t="n"/>
      <c r="E86" s="20" t="n"/>
      <c r="K86" s="14" t="n"/>
    </row>
    <row r="87" hidden="1" s="79">
      <c r="C87" s="20" t="n"/>
      <c r="D87" s="20" t="n"/>
      <c r="E87" s="20" t="n"/>
      <c r="I87" s="59" t="n"/>
      <c r="J87" s="1" t="n"/>
      <c r="K87" s="14" t="n"/>
    </row>
    <row r="88" hidden="1" s="79">
      <c r="C88" s="20" t="n"/>
      <c r="D88" s="20" t="n"/>
      <c r="E88" s="20" t="n"/>
      <c r="I88" s="59" t="n"/>
      <c r="J88" s="1" t="n"/>
      <c r="K88" s="14" t="n"/>
    </row>
    <row r="89" hidden="1" s="79">
      <c r="C89" s="20" t="n"/>
      <c r="D89" s="20" t="n"/>
      <c r="E89" s="20" t="n"/>
      <c r="I89" s="59" t="n"/>
      <c r="J89" s="1" t="n"/>
      <c r="K89" s="14" t="n"/>
    </row>
    <row r="90" hidden="1" s="79">
      <c r="C90" s="20" t="n"/>
      <c r="D90" s="20" t="n"/>
      <c r="E90" s="20" t="n"/>
      <c r="I90" s="59" t="n"/>
      <c r="J90" s="1" t="n"/>
      <c r="K90" s="14" t="n"/>
      <c r="N90" s="76" t="n"/>
    </row>
    <row r="91" hidden="1" s="79">
      <c r="C91" s="20" t="n"/>
      <c r="D91" s="20" t="n"/>
      <c r="E91" s="20" t="n"/>
      <c r="I91" s="59" t="n"/>
      <c r="J91" s="1" t="n"/>
      <c r="K91" s="14" t="n"/>
      <c r="N91" s="76" t="n"/>
    </row>
    <row r="92" hidden="1" s="79">
      <c r="C92" s="20" t="n"/>
      <c r="D92" s="41" t="n"/>
      <c r="E92" s="20" t="n"/>
    </row>
    <row r="93" hidden="1" s="79">
      <c r="C93" s="20" t="n"/>
      <c r="D93" s="20" t="n"/>
      <c r="E93" s="20" t="n"/>
      <c r="I93" s="59" t="n"/>
      <c r="J93" s="1" t="n"/>
      <c r="K93" s="14" t="n"/>
    </row>
    <row r="94" hidden="1" s="79">
      <c r="C94" s="20" t="n"/>
      <c r="D94" s="20" t="n"/>
      <c r="E94" s="20" t="n"/>
      <c r="I94" s="14" t="n"/>
      <c r="J94" s="12" t="n"/>
      <c r="K94" s="14" t="n"/>
    </row>
    <row r="95" hidden="1" s="79">
      <c r="C95" s="20" t="n"/>
      <c r="D95" s="20" t="n"/>
      <c r="E95" s="20" t="n"/>
      <c r="K95" s="14" t="n"/>
      <c r="N95" s="76" t="n"/>
    </row>
    <row r="96" hidden="1" s="79">
      <c r="C96" s="20" t="n"/>
      <c r="D96" s="20" t="n"/>
      <c r="E96" s="20" t="n"/>
      <c r="I96" s="59" t="n"/>
      <c r="J96" s="1" t="n"/>
      <c r="K96" s="14" t="n"/>
    </row>
    <row r="97" hidden="1" s="79">
      <c r="C97" s="20" t="n"/>
      <c r="D97" s="20" t="n"/>
      <c r="E97" s="20" t="n"/>
      <c r="I97" s="59" t="n"/>
      <c r="J97" s="1" t="n"/>
      <c r="K97" s="14" t="n"/>
    </row>
    <row r="98" hidden="1" s="79">
      <c r="C98" s="20" t="n"/>
      <c r="D98" s="20" t="n"/>
      <c r="E98" s="20" t="n"/>
      <c r="I98" s="1" t="n"/>
      <c r="J98" s="1" t="n"/>
      <c r="K98" s="14" t="n"/>
    </row>
    <row r="99" hidden="1" s="79">
      <c r="C99" s="20" t="n"/>
      <c r="D99" s="20" t="n"/>
      <c r="E99" s="20" t="n"/>
      <c r="I99" s="59" t="n"/>
      <c r="J99" s="1" t="n"/>
      <c r="K99" s="14" t="n"/>
      <c r="N99" s="76" t="n"/>
    </row>
    <row r="100" hidden="1" s="79">
      <c r="C100" s="20" t="n"/>
      <c r="D100" s="20" t="n"/>
      <c r="E100" s="20" t="n"/>
      <c r="K100" s="14" t="n"/>
    </row>
    <row r="101" hidden="1" s="79">
      <c r="C101" s="20" t="n"/>
      <c r="D101" s="20" t="n"/>
      <c r="E101" s="20" t="n"/>
    </row>
    <row r="102" hidden="1" s="79">
      <c r="C102" s="20" t="n"/>
      <c r="D102" s="20" t="n"/>
      <c r="E102" s="20" t="n"/>
    </row>
    <row r="103" hidden="1" s="79">
      <c r="C103" s="20" t="n"/>
      <c r="D103" s="20" t="n"/>
      <c r="E103" s="20" t="n"/>
    </row>
    <row r="104" hidden="1" s="79">
      <c r="C104" s="20" t="n"/>
      <c r="D104" s="20" t="n"/>
      <c r="E104" s="20" t="n"/>
    </row>
    <row r="105" hidden="1" s="79">
      <c r="C105" s="20" t="n"/>
      <c r="D105" s="20" t="n"/>
      <c r="E105" s="20" t="n"/>
    </row>
    <row r="106" hidden="1" s="79">
      <c r="C106" s="20" t="n"/>
      <c r="D106" s="20" t="n"/>
      <c r="E106" s="20" t="n"/>
      <c r="I106" s="12" t="n"/>
      <c r="J106" s="12" t="n"/>
    </row>
    <row r="107" hidden="1" s="79">
      <c r="C107" s="20" t="n"/>
      <c r="D107" s="20" t="n"/>
      <c r="E107" s="20" t="n"/>
    </row>
    <row r="108" hidden="1" s="79">
      <c r="C108" s="20" t="n"/>
      <c r="D108" s="20" t="n"/>
      <c r="E108" s="20" t="n"/>
      <c r="I108" s="12" t="n"/>
      <c r="J108" s="12" t="n"/>
      <c r="K108" s="14" t="n"/>
    </row>
    <row r="109" hidden="1" s="79">
      <c r="C109" s="20" t="n"/>
      <c r="D109" s="20" t="n"/>
      <c r="E109" s="20" t="n"/>
      <c r="I109" s="14" t="n"/>
      <c r="J109" s="12" t="n"/>
      <c r="K109" s="14" t="n"/>
    </row>
    <row r="110" hidden="1" s="79">
      <c r="C110" s="20" t="n"/>
      <c r="D110" s="20" t="n"/>
      <c r="E110" s="20" t="n"/>
      <c r="I110" s="14" t="n"/>
      <c r="J110" s="12" t="n"/>
      <c r="K110" s="14" t="n"/>
    </row>
    <row r="111" hidden="1" s="79">
      <c r="C111" s="20" t="n"/>
      <c r="D111" s="20" t="n"/>
      <c r="E111" s="20" t="n"/>
      <c r="I111" s="59" t="n"/>
      <c r="J111" s="1" t="n"/>
      <c r="K111" s="14" t="n"/>
      <c r="N111" s="76" t="n"/>
    </row>
    <row r="112" hidden="1" s="79">
      <c r="C112" s="20" t="n"/>
      <c r="D112" s="20" t="n"/>
      <c r="E112" s="20" t="n"/>
      <c r="I112" s="14" t="n"/>
      <c r="J112" s="12" t="n"/>
      <c r="K112" s="14" t="n"/>
    </row>
    <row r="113" hidden="1" s="79">
      <c r="C113" s="20" t="n"/>
      <c r="D113" s="20" t="n"/>
      <c r="E113" s="20" t="n"/>
      <c r="I113" s="14" t="n"/>
      <c r="J113" s="12" t="n"/>
      <c r="K113" s="14" t="n"/>
    </row>
    <row r="114" hidden="1" s="79">
      <c r="C114" s="20" t="n"/>
      <c r="D114" s="20" t="n"/>
      <c r="E114" s="20" t="n"/>
      <c r="I114" s="14" t="n"/>
      <c r="J114" s="12" t="n"/>
      <c r="K114" s="14" t="n"/>
    </row>
    <row r="115" hidden="1" s="79">
      <c r="C115" s="20" t="n"/>
      <c r="D115" s="20" t="n"/>
      <c r="E115" s="20" t="n"/>
      <c r="I115" s="14" t="n"/>
      <c r="J115" s="12" t="n"/>
      <c r="K115" s="14" t="n"/>
    </row>
    <row r="116" hidden="1" s="79">
      <c r="C116" s="20" t="n"/>
      <c r="D116" s="20" t="n"/>
      <c r="E116" s="20" t="n"/>
      <c r="I116" s="14" t="n"/>
      <c r="J116" s="12" t="n"/>
      <c r="K116" s="14" t="n"/>
    </row>
    <row r="117" hidden="1" s="79">
      <c r="C117" s="20" t="n"/>
      <c r="D117" s="20" t="n"/>
      <c r="E117" s="20" t="n"/>
      <c r="I117" s="14" t="n"/>
      <c r="J117" s="12" t="n"/>
      <c r="K117" s="14" t="n"/>
    </row>
    <row r="118" hidden="1" s="79">
      <c r="C118" s="20" t="n"/>
      <c r="D118" s="20" t="n"/>
      <c r="E118" s="20" t="n"/>
      <c r="I118" s="12" t="n"/>
      <c r="J118" s="12" t="n"/>
      <c r="K118" s="14" t="n"/>
    </row>
    <row r="119" hidden="1" s="79">
      <c r="C119" s="20" t="n"/>
      <c r="D119" s="20" t="n"/>
      <c r="E119" s="20" t="n"/>
      <c r="N119" s="76" t="n"/>
    </row>
    <row r="120" hidden="1" s="79">
      <c r="C120" s="20" t="n"/>
      <c r="D120" s="20" t="n"/>
      <c r="E120" s="20" t="n"/>
      <c r="I120" s="14" t="n"/>
      <c r="J120" s="12" t="n"/>
      <c r="K120" s="14" t="n"/>
    </row>
    <row r="121" hidden="1" s="79">
      <c r="C121" s="20" t="n"/>
      <c r="D121" s="20" t="n"/>
      <c r="E121" s="20" t="n"/>
      <c r="I121" s="14" t="n"/>
      <c r="J121" s="12" t="n"/>
      <c r="K121" s="14" t="n"/>
    </row>
    <row r="122" hidden="1" s="79">
      <c r="C122" s="20" t="n"/>
      <c r="D122" s="20" t="n"/>
      <c r="E122" s="20" t="n"/>
      <c r="I122" s="12" t="n"/>
      <c r="J122" s="12" t="n"/>
      <c r="K122" s="14" t="n"/>
    </row>
    <row r="123" hidden="1" s="79">
      <c r="C123" s="20" t="n"/>
      <c r="D123" s="20" t="n"/>
      <c r="E123" s="20" t="n"/>
      <c r="I123" s="14" t="n"/>
      <c r="J123" s="12" t="n"/>
      <c r="K123" s="40" t="n"/>
    </row>
    <row r="124" hidden="1" s="79">
      <c r="C124" s="20" t="n"/>
      <c r="D124" s="20" t="n"/>
      <c r="E124" s="20" t="n"/>
      <c r="I124" s="14" t="n"/>
      <c r="J124" s="12" t="n"/>
      <c r="K124" s="14" t="n"/>
    </row>
    <row r="125" hidden="1" s="79">
      <c r="C125" s="20" t="n"/>
      <c r="D125" s="20" t="n"/>
      <c r="E125" s="20" t="n"/>
    </row>
    <row r="126" hidden="1" s="79">
      <c r="C126" s="20" t="n"/>
      <c r="D126" s="20" t="n"/>
      <c r="E126" s="20" t="n"/>
      <c r="F126" s="55" t="n"/>
      <c r="I126" s="14" t="n"/>
      <c r="J126" s="12" t="n"/>
      <c r="K126" s="14" t="n"/>
    </row>
    <row r="127" hidden="1" s="79">
      <c r="C127" s="20" t="n"/>
      <c r="D127" s="20" t="n"/>
      <c r="E127" s="20" t="n"/>
      <c r="I127" s="14" t="n"/>
      <c r="J127" s="12" t="n"/>
      <c r="K127" s="14" t="n"/>
    </row>
    <row r="128" hidden="1" s="79">
      <c r="C128" s="20" t="n"/>
      <c r="D128" s="20" t="n"/>
      <c r="E128" s="20" t="n"/>
      <c r="I128" s="59" t="n"/>
      <c r="J128" s="1" t="n"/>
      <c r="K128" s="14" t="n"/>
    </row>
    <row r="129" hidden="1" s="79">
      <c r="C129" s="20" t="n"/>
      <c r="D129" s="20" t="n"/>
      <c r="E129" s="20" t="n"/>
      <c r="I129" s="14" t="n"/>
      <c r="J129" s="12" t="n"/>
      <c r="K129" s="14" t="n"/>
    </row>
    <row r="130" hidden="1" s="79">
      <c r="C130" s="20" t="n"/>
      <c r="D130" s="20" t="n"/>
      <c r="E130" s="20" t="n"/>
      <c r="I130" s="14" t="n"/>
      <c r="J130" s="12" t="n"/>
      <c r="K130" s="14" t="n"/>
    </row>
    <row r="131" hidden="1" s="79">
      <c r="C131" s="20" t="n"/>
      <c r="D131" s="20" t="n"/>
      <c r="E131" s="20" t="n"/>
      <c r="I131" s="14" t="n"/>
      <c r="J131" s="12" t="n"/>
      <c r="K131" s="14" t="n"/>
    </row>
    <row r="132" hidden="1" s="79">
      <c r="C132" s="20" t="n"/>
      <c r="D132" s="20" t="n"/>
      <c r="E132" s="20" t="n"/>
      <c r="I132" s="14" t="n"/>
      <c r="J132" s="12" t="n"/>
      <c r="K132" s="14" t="n"/>
    </row>
    <row r="133" hidden="1" s="79">
      <c r="C133" s="20" t="n"/>
      <c r="D133" s="20" t="n"/>
      <c r="E133" s="20" t="n"/>
      <c r="K133" s="14" t="n"/>
      <c r="N133" s="76" t="n"/>
    </row>
    <row r="134" hidden="1" s="79">
      <c r="C134" s="20" t="n"/>
      <c r="D134" s="20" t="n"/>
      <c r="E134" s="20" t="n"/>
      <c r="I134" s="14" t="n"/>
      <c r="J134" s="12" t="n"/>
      <c r="K134" s="14" t="n"/>
    </row>
    <row r="135" hidden="1" s="79">
      <c r="C135" s="20" t="n"/>
      <c r="D135" s="20" t="n"/>
      <c r="E135" s="20" t="n"/>
      <c r="I135" s="14" t="n"/>
      <c r="J135" s="12" t="n"/>
      <c r="K135" s="14" t="n"/>
    </row>
    <row r="136" hidden="1" s="79">
      <c r="C136" s="20" t="n"/>
      <c r="D136" s="20" t="n"/>
      <c r="E136" s="20" t="n"/>
      <c r="I136" s="14" t="n"/>
      <c r="J136" s="12" t="n"/>
      <c r="K136" s="14" t="n"/>
    </row>
    <row r="137" hidden="1" s="79">
      <c r="C137" s="20" t="n"/>
      <c r="D137" s="20" t="n"/>
      <c r="E137" s="20" t="n"/>
    </row>
    <row r="138" hidden="1" s="79">
      <c r="C138" s="20" t="n"/>
      <c r="D138" s="20" t="n"/>
      <c r="E138" s="20" t="n"/>
      <c r="I138" s="12" t="n"/>
      <c r="J138" s="12" t="n"/>
      <c r="K138" s="14" t="n"/>
    </row>
    <row r="139" hidden="1" s="79">
      <c r="C139" s="20" t="n"/>
      <c r="D139" s="20" t="n"/>
      <c r="E139" s="20" t="n"/>
      <c r="I139" s="12" t="n"/>
      <c r="J139" s="12" t="n"/>
    </row>
    <row r="140" hidden="1" s="79">
      <c r="C140" s="20" t="n"/>
      <c r="D140" s="20" t="n"/>
      <c r="E140" s="20" t="n"/>
      <c r="I140" s="14" t="n"/>
      <c r="J140" s="12" t="n"/>
      <c r="K140" s="14" t="n"/>
    </row>
    <row r="141" hidden="1" s="79">
      <c r="C141" s="20" t="n"/>
      <c r="D141" s="20" t="n"/>
      <c r="E141" s="20" t="n"/>
      <c r="I141" s="14" t="n"/>
      <c r="J141" s="12" t="n"/>
      <c r="K141" s="14" t="n"/>
    </row>
    <row r="142" hidden="1" s="79">
      <c r="C142" s="20" t="n"/>
      <c r="D142" s="20" t="n"/>
      <c r="E142" s="20" t="n"/>
      <c r="I142" s="12" t="n"/>
      <c r="J142" s="12" t="n"/>
      <c r="K142" s="14" t="n"/>
    </row>
    <row r="143" hidden="1" s="79">
      <c r="C143" s="20" t="n"/>
      <c r="D143" s="20" t="n"/>
      <c r="E143" s="20" t="n"/>
      <c r="I143" s="14" t="n"/>
      <c r="J143" s="12" t="n"/>
      <c r="K143" s="14" t="n"/>
    </row>
    <row r="144" hidden="1" s="79">
      <c r="C144" s="20" t="n"/>
      <c r="D144" s="20" t="n"/>
      <c r="E144" s="20" t="n"/>
      <c r="I144" s="14" t="n"/>
      <c r="J144" s="12" t="n"/>
      <c r="K144" s="14" t="n"/>
    </row>
    <row r="145" hidden="1" s="79">
      <c r="C145" s="20" t="n"/>
      <c r="D145" s="20" t="n"/>
      <c r="E145" s="20" t="n"/>
      <c r="I145" s="14" t="n"/>
      <c r="J145" s="12" t="n"/>
      <c r="K145" s="14" t="n"/>
    </row>
    <row r="146" hidden="1" s="79">
      <c r="C146" s="20" t="n"/>
      <c r="D146" s="20" t="n"/>
      <c r="E146" s="20" t="n"/>
      <c r="I146" s="12" t="n"/>
      <c r="J146" s="12" t="n"/>
    </row>
    <row r="147" hidden="1" s="79">
      <c r="C147" s="20" t="n"/>
      <c r="D147" s="20" t="n"/>
      <c r="E147" s="20" t="n"/>
    </row>
    <row r="148" hidden="1" s="79">
      <c r="C148" s="20" t="n"/>
      <c r="D148" s="20" t="n"/>
      <c r="E148" s="20" t="n"/>
      <c r="I148" s="14" t="n"/>
      <c r="J148" s="12" t="n"/>
      <c r="K148" s="14" t="n"/>
      <c r="N148" s="76" t="n"/>
    </row>
    <row r="149" hidden="1" s="79">
      <c r="C149" s="20" t="n"/>
      <c r="D149" s="20" t="n"/>
      <c r="E149" s="20" t="n"/>
      <c r="I149" s="14" t="n"/>
      <c r="J149" s="12" t="n"/>
      <c r="K149" s="14" t="n"/>
    </row>
    <row r="150" hidden="1" s="79">
      <c r="C150" s="20" t="n"/>
      <c r="D150" s="20" t="n"/>
      <c r="E150" s="20" t="n"/>
      <c r="I150" s="14" t="n"/>
      <c r="J150" s="12" t="n"/>
      <c r="K150" s="14" t="n"/>
    </row>
    <row r="151" hidden="1" s="79">
      <c r="C151" s="20" t="n"/>
      <c r="D151" s="20" t="n"/>
      <c r="E151" s="20" t="n"/>
      <c r="I151" s="14" t="n"/>
      <c r="J151" s="12" t="n"/>
      <c r="K151" s="14" t="n"/>
    </row>
    <row r="152" hidden="1" s="79">
      <c r="C152" s="20" t="n"/>
      <c r="D152" s="20" t="n"/>
      <c r="E152" s="20" t="n"/>
      <c r="I152" s="14" t="n"/>
      <c r="J152" s="12" t="n"/>
      <c r="K152" s="14" t="n"/>
    </row>
    <row r="153" hidden="1" s="79">
      <c r="C153" s="20" t="n"/>
      <c r="D153" s="20" t="n"/>
      <c r="E153" s="20" t="n"/>
      <c r="I153" s="14" t="n"/>
      <c r="J153" s="12" t="n"/>
      <c r="K153" s="14" t="n"/>
    </row>
    <row r="154" hidden="1" s="79">
      <c r="C154" s="20" t="n"/>
      <c r="D154" s="20" t="n"/>
      <c r="E154" s="20" t="n"/>
    </row>
    <row r="155" hidden="1" s="79">
      <c r="C155" s="20" t="n"/>
      <c r="D155" s="20" t="n"/>
      <c r="E155" s="20" t="n"/>
      <c r="K155" s="14" t="n"/>
    </row>
    <row r="156" hidden="1" s="79">
      <c r="C156" s="20" t="n"/>
      <c r="D156" s="20" t="n"/>
      <c r="E156" s="20" t="n"/>
      <c r="I156" s="14" t="n"/>
      <c r="J156" s="12" t="n"/>
      <c r="K156" s="14" t="n"/>
    </row>
    <row r="157" hidden="1" s="79">
      <c r="C157" s="20" t="n"/>
      <c r="D157" s="20" t="n"/>
      <c r="E157" s="20" t="n"/>
      <c r="I157" s="14" t="n"/>
      <c r="J157" s="12" t="n"/>
      <c r="K157" s="14" t="n"/>
    </row>
    <row r="158" hidden="1" s="79">
      <c r="C158" s="20" t="n"/>
      <c r="D158" s="20" t="n"/>
      <c r="E158" s="20" t="n"/>
      <c r="I158" s="14" t="n"/>
      <c r="J158" s="12" t="n"/>
      <c r="K158" s="14" t="n"/>
    </row>
    <row r="159" hidden="1" s="79">
      <c r="C159" s="20" t="n"/>
      <c r="D159" s="20" t="n"/>
      <c r="E159" s="20" t="n"/>
      <c r="I159" s="14" t="n"/>
      <c r="J159" s="12" t="n"/>
      <c r="K159" s="14" t="n"/>
    </row>
    <row r="160" hidden="1" s="79">
      <c r="C160" s="20" t="n"/>
      <c r="D160" s="20" t="n"/>
      <c r="E160" s="20" t="n"/>
      <c r="I160" s="14" t="n"/>
      <c r="J160" s="12" t="n"/>
      <c r="K160" s="14" t="n"/>
    </row>
    <row r="161" hidden="1" s="79">
      <c r="C161" s="20" t="n"/>
      <c r="D161" s="20" t="n"/>
      <c r="E161" s="20" t="n"/>
      <c r="I161" s="14" t="n"/>
      <c r="J161" s="12" t="n"/>
      <c r="K161" s="14" t="n"/>
      <c r="N161" s="76" t="n"/>
    </row>
    <row r="162" hidden="1" s="79">
      <c r="C162" s="20" t="n"/>
      <c r="D162" s="20" t="n"/>
      <c r="E162" s="20" t="n"/>
      <c r="I162" s="14" t="n"/>
      <c r="J162" s="12" t="n"/>
      <c r="K162" s="14" t="n"/>
    </row>
    <row r="163" hidden="1" s="79">
      <c r="C163" s="20" t="n"/>
      <c r="D163" s="20" t="n"/>
      <c r="E163" s="20" t="n"/>
      <c r="I163" s="14" t="n"/>
      <c r="J163" s="12" t="n"/>
      <c r="K163" s="14" t="n"/>
    </row>
    <row r="164" hidden="1" s="79">
      <c r="C164" s="20" t="n"/>
      <c r="D164" s="20" t="n"/>
      <c r="E164" s="20" t="n"/>
      <c r="I164" s="14" t="n"/>
      <c r="J164" s="12" t="n"/>
      <c r="K164" s="14" t="n"/>
    </row>
    <row r="165" hidden="1" s="79">
      <c r="C165" s="20" t="n"/>
      <c r="D165" s="20" t="n"/>
      <c r="E165" s="20" t="n"/>
      <c r="K165" s="14" t="n"/>
    </row>
    <row r="166" hidden="1" s="79">
      <c r="C166" s="20" t="n"/>
      <c r="D166" s="20" t="n"/>
      <c r="E166" s="20" t="n"/>
      <c r="I166" s="14" t="n"/>
      <c r="J166" s="12" t="n"/>
      <c r="K166" s="14" t="n"/>
    </row>
    <row r="167" hidden="1" s="79">
      <c r="C167" s="20" t="n"/>
      <c r="D167" s="20" t="n"/>
      <c r="E167" s="20" t="n"/>
      <c r="K167" s="14" t="n"/>
    </row>
    <row r="168" hidden="1" s="79">
      <c r="C168" s="20" t="n"/>
      <c r="D168" s="20" t="n"/>
      <c r="E168" s="20" t="n"/>
      <c r="I168" s="14" t="n"/>
      <c r="J168" s="12" t="n"/>
      <c r="K168" s="14" t="n"/>
    </row>
    <row r="169" hidden="1" s="79">
      <c r="C169" s="20" t="n"/>
      <c r="D169" s="20" t="n"/>
      <c r="E169" s="20" t="n"/>
      <c r="K169" s="14" t="n"/>
    </row>
    <row r="170" hidden="1" s="79">
      <c r="C170" s="20" t="n"/>
      <c r="D170" s="20" t="n"/>
      <c r="E170" s="20" t="n"/>
      <c r="I170" s="14" t="n"/>
      <c r="J170" s="12" t="n"/>
      <c r="K170" s="14" t="n"/>
    </row>
    <row r="171" hidden="1" s="79">
      <c r="C171" s="20" t="n"/>
      <c r="D171" s="20" t="n"/>
      <c r="E171" s="20" t="n"/>
      <c r="I171" s="14" t="n"/>
      <c r="J171" s="12" t="n"/>
      <c r="K171" s="14" t="n"/>
    </row>
    <row r="172" hidden="1" s="79">
      <c r="C172" s="20" t="n"/>
      <c r="D172" s="20" t="n"/>
      <c r="E172" s="20" t="n"/>
      <c r="I172" s="14" t="n"/>
      <c r="J172" s="12" t="n"/>
      <c r="K172" s="14" t="n"/>
    </row>
    <row r="173" hidden="1" s="79">
      <c r="C173" s="20" t="n"/>
      <c r="D173" s="20" t="n"/>
      <c r="E173" s="20" t="n"/>
      <c r="I173" s="14" t="n"/>
      <c r="J173" s="12" t="n"/>
      <c r="K173" s="14" t="n"/>
    </row>
    <row r="174" hidden="1" s="79">
      <c r="C174" s="20" t="n"/>
      <c r="D174" s="20" t="n"/>
      <c r="E174" s="20" t="n"/>
      <c r="I174" s="14" t="n"/>
      <c r="J174" s="12" t="n"/>
      <c r="K174" s="14" t="n"/>
    </row>
    <row r="175" hidden="1" s="79">
      <c r="C175" s="20" t="n"/>
      <c r="D175" s="20" t="n"/>
      <c r="E175" s="20" t="n"/>
      <c r="I175" s="14" t="n"/>
      <c r="J175" s="12" t="n"/>
      <c r="K175" s="14" t="n"/>
    </row>
    <row r="176" hidden="1" s="79">
      <c r="C176" s="20" t="n"/>
      <c r="D176" s="20" t="n"/>
      <c r="E176" s="20" t="n"/>
      <c r="I176" s="14" t="n"/>
      <c r="J176" s="12" t="n"/>
      <c r="K176" s="14" t="n"/>
    </row>
    <row r="177" hidden="1" s="79">
      <c r="C177" s="20" t="n"/>
      <c r="D177" s="20" t="n"/>
      <c r="E177" s="20" t="n"/>
      <c r="I177" s="14" t="n"/>
      <c r="J177" s="12" t="n"/>
      <c r="K177" s="14" t="n"/>
      <c r="N177" s="76" t="n"/>
    </row>
    <row r="178" hidden="1" s="79">
      <c r="C178" s="20" t="n"/>
      <c r="D178" s="20" t="n"/>
      <c r="E178" s="20" t="n"/>
      <c r="I178" s="14" t="n"/>
      <c r="J178" s="12" t="n"/>
      <c r="K178" s="14" t="n"/>
    </row>
    <row r="179" hidden="1" s="79">
      <c r="C179" s="20" t="n"/>
      <c r="D179" s="20" t="n"/>
      <c r="E179" s="20" t="n"/>
      <c r="K179" s="14" t="n"/>
    </row>
    <row r="180" hidden="1" s="79">
      <c r="C180" s="20" t="n"/>
      <c r="D180" s="20" t="n"/>
      <c r="E180" s="20" t="n"/>
      <c r="I180" s="14" t="n"/>
      <c r="J180" s="12" t="n"/>
      <c r="K180" s="14" t="n"/>
    </row>
    <row r="181" hidden="1" s="79">
      <c r="C181" s="20" t="n"/>
      <c r="D181" s="20" t="n"/>
      <c r="E181" s="20" t="n"/>
      <c r="K181" s="14" t="n"/>
    </row>
    <row r="182" hidden="1" s="79">
      <c r="C182" s="20" t="n"/>
      <c r="D182" s="20" t="n"/>
      <c r="E182" s="20" t="n"/>
      <c r="K182" s="14" t="n"/>
    </row>
    <row r="183" hidden="1" s="79">
      <c r="C183" s="20" t="n"/>
      <c r="D183" s="20" t="n"/>
      <c r="E183" s="20" t="n"/>
      <c r="I183" s="14" t="n"/>
      <c r="J183" s="12" t="n"/>
      <c r="K183" s="14" t="n"/>
    </row>
    <row r="184" hidden="1" s="79">
      <c r="C184" s="20" t="n"/>
      <c r="D184" s="20" t="n"/>
      <c r="E184" s="20" t="n"/>
      <c r="I184" s="14" t="n"/>
      <c r="J184" s="12" t="n"/>
      <c r="K184" s="14" t="n"/>
    </row>
    <row r="185" hidden="1" s="79">
      <c r="C185" s="20" t="n"/>
      <c r="D185" s="20" t="n"/>
      <c r="E185" s="20" t="n"/>
      <c r="I185" s="14" t="n"/>
      <c r="J185" s="12" t="n"/>
      <c r="K185" s="14" t="n"/>
    </row>
    <row r="186" hidden="1" s="79">
      <c r="C186" s="20" t="n"/>
      <c r="D186" s="20" t="n"/>
      <c r="E186" s="20" t="n"/>
      <c r="I186" s="14" t="n"/>
      <c r="J186" s="12" t="n"/>
      <c r="K186" s="14" t="n"/>
    </row>
    <row r="187" hidden="1" s="79">
      <c r="C187" s="20" t="n"/>
      <c r="D187" s="20" t="n"/>
      <c r="E187" s="20" t="n"/>
    </row>
    <row r="188" hidden="1" s="79">
      <c r="C188" s="20" t="n"/>
      <c r="D188" s="20" t="n"/>
      <c r="E188" s="20" t="n"/>
      <c r="I188" s="14" t="n"/>
      <c r="J188" s="12" t="n"/>
      <c r="K188" s="14" t="n"/>
    </row>
    <row r="189" hidden="1" s="79">
      <c r="C189" s="20" t="n"/>
      <c r="D189" s="20" t="n"/>
      <c r="E189" s="20" t="n"/>
      <c r="I189" s="14" t="n"/>
      <c r="J189" s="12" t="n"/>
      <c r="K189" s="14" t="n"/>
    </row>
    <row r="190" hidden="1" s="79">
      <c r="C190" s="20" t="n"/>
      <c r="D190" s="20" t="n"/>
      <c r="E190" s="20" t="n"/>
    </row>
    <row r="191" hidden="1" s="79">
      <c r="C191" s="20" t="n"/>
      <c r="D191" s="20" t="n"/>
      <c r="E191" s="20" t="n"/>
      <c r="I191" s="14" t="n"/>
      <c r="J191" s="12" t="n"/>
      <c r="N191" s="76" t="n"/>
    </row>
    <row r="192" hidden="1" s="79">
      <c r="C192" s="20" t="n"/>
      <c r="D192" s="20" t="n"/>
      <c r="E192" s="20" t="n"/>
    </row>
    <row r="193" hidden="1" s="79">
      <c r="C193" s="20" t="n"/>
      <c r="D193" s="20" t="n"/>
      <c r="E193" s="20" t="n"/>
      <c r="I193" s="14" t="n"/>
      <c r="J193" s="12" t="n"/>
      <c r="K193" s="14" t="n"/>
    </row>
    <row r="194" hidden="1" s="79">
      <c r="C194" s="20" t="n"/>
      <c r="D194" s="20" t="n"/>
      <c r="E194" s="20" t="n"/>
      <c r="I194" s="14" t="n"/>
      <c r="J194" s="12" t="n"/>
      <c r="K194" s="14" t="n"/>
    </row>
    <row r="195" hidden="1" s="79">
      <c r="C195" s="20" t="n"/>
      <c r="D195" s="20" t="n"/>
      <c r="E195" s="20" t="n"/>
      <c r="I195" s="14" t="n"/>
      <c r="J195" s="12" t="n"/>
      <c r="K195" s="14" t="n"/>
      <c r="N195" s="76" t="n"/>
    </row>
    <row r="196" hidden="1" s="79">
      <c r="C196" s="20" t="n"/>
      <c r="D196" s="20" t="n"/>
      <c r="E196" s="20" t="n"/>
    </row>
    <row r="197" hidden="1" s="79">
      <c r="C197" s="20" t="n"/>
      <c r="D197" s="20" t="n"/>
      <c r="E197" s="20" t="n"/>
    </row>
    <row r="198" hidden="1" s="79">
      <c r="C198" s="20" t="n"/>
      <c r="D198" s="20" t="n"/>
      <c r="E198" s="20" t="n"/>
      <c r="N198" s="76" t="n"/>
    </row>
    <row r="199" hidden="1" s="79">
      <c r="C199" s="20" t="n"/>
      <c r="D199" s="20" t="n"/>
      <c r="E199" s="20" t="n"/>
      <c r="I199" s="14" t="n"/>
      <c r="J199" s="12" t="n"/>
      <c r="K199" s="14" t="n"/>
    </row>
    <row r="200" hidden="1" s="79">
      <c r="C200" s="20" t="n"/>
      <c r="D200" s="20" t="n"/>
      <c r="E200" s="20" t="n"/>
      <c r="K200" s="14" t="n"/>
    </row>
    <row r="201" hidden="1" s="79">
      <c r="C201" s="20" t="n"/>
      <c r="D201" s="20" t="n"/>
      <c r="E201" s="20" t="n"/>
      <c r="I201" s="14" t="n"/>
      <c r="J201" s="12" t="n"/>
      <c r="K201" s="14" t="n"/>
    </row>
    <row r="202" hidden="1" s="79">
      <c r="C202" s="20" t="n"/>
      <c r="D202" s="20" t="n"/>
      <c r="E202" s="20" t="n"/>
      <c r="I202" s="12" t="n"/>
      <c r="J202" s="12" t="n"/>
      <c r="K202" s="14" t="n"/>
    </row>
    <row r="203" hidden="1" s="79">
      <c r="C203" s="20" t="n"/>
      <c r="D203" s="20" t="n"/>
      <c r="E203" s="20" t="n"/>
      <c r="I203" s="14" t="n"/>
      <c r="J203" s="12" t="n"/>
      <c r="K203" s="14" t="n"/>
    </row>
    <row r="204" hidden="1" s="79">
      <c r="C204" s="20" t="n"/>
      <c r="D204" s="20" t="n"/>
      <c r="E204" s="20" t="n"/>
    </row>
    <row r="205" hidden="1" s="79">
      <c r="C205" s="20" t="n"/>
      <c r="D205" s="20" t="n"/>
      <c r="E205" s="20" t="n"/>
    </row>
    <row r="206" hidden="1" s="79">
      <c r="C206" s="20" t="n"/>
      <c r="D206" s="20" t="n"/>
      <c r="E206" s="20" t="n"/>
      <c r="K206" s="14" t="n"/>
    </row>
    <row r="207" hidden="1" s="79">
      <c r="C207" s="20" t="n"/>
      <c r="D207" s="20" t="n"/>
      <c r="E207" s="20" t="n"/>
    </row>
    <row r="208" hidden="1" s="79">
      <c r="C208" s="20" t="n"/>
      <c r="D208" s="20" t="n"/>
      <c r="E208" s="20" t="n"/>
    </row>
    <row r="209" hidden="1" s="79">
      <c r="C209" s="20" t="n"/>
      <c r="D209" s="20" t="n"/>
      <c r="E209" s="20" t="n"/>
    </row>
    <row r="210" hidden="1" s="79">
      <c r="C210" s="20" t="n"/>
      <c r="D210" s="20" t="n"/>
      <c r="E210" s="20" t="n"/>
    </row>
    <row r="211" hidden="1" s="79">
      <c r="C211" s="20" t="n"/>
      <c r="D211" s="20" t="n"/>
      <c r="E211" s="20" t="n"/>
      <c r="I211" s="14" t="n"/>
      <c r="J211" s="12" t="n"/>
      <c r="K211" s="14" t="n"/>
    </row>
    <row r="212" hidden="1" s="79">
      <c r="C212" s="20" t="n"/>
      <c r="D212" s="20" t="n"/>
      <c r="E212" s="20" t="n"/>
    </row>
    <row r="213" hidden="1" s="79">
      <c r="C213" s="20" t="n"/>
      <c r="D213" s="20" t="n"/>
      <c r="E213" s="20" t="n"/>
      <c r="N213" s="76" t="n"/>
    </row>
    <row r="214" hidden="1" s="79">
      <c r="C214" s="20" t="n"/>
      <c r="D214" s="20" t="n"/>
      <c r="E214" s="20" t="n"/>
    </row>
    <row r="215" hidden="1" s="79">
      <c r="C215" s="20" t="n"/>
      <c r="D215" s="20" t="n"/>
      <c r="E215" s="20" t="n"/>
    </row>
    <row r="216" hidden="1" s="79">
      <c r="C216" s="20" t="n"/>
      <c r="D216" s="20" t="n"/>
      <c r="E216" s="20" t="n"/>
    </row>
    <row r="217" hidden="1" s="79">
      <c r="C217" s="20" t="n"/>
      <c r="D217" s="20" t="n"/>
      <c r="E217" s="20" t="n"/>
      <c r="I217" s="14" t="n"/>
      <c r="J217" s="12" t="n"/>
      <c r="K217" s="14" t="n"/>
      <c r="N217" s="78" t="n"/>
    </row>
    <row r="218" hidden="1" s="79">
      <c r="C218" s="20" t="n"/>
      <c r="D218" s="20" t="n"/>
      <c r="E218" s="20" t="n"/>
    </row>
    <row r="219" hidden="1" s="79">
      <c r="C219" s="20" t="n"/>
      <c r="D219" s="20" t="n"/>
      <c r="E219" s="20" t="n"/>
      <c r="I219" s="14" t="n"/>
      <c r="J219" s="12" t="n"/>
      <c r="K219" s="14" t="n"/>
    </row>
    <row r="220" hidden="1" s="79">
      <c r="C220" s="20" t="n"/>
      <c r="D220" s="20" t="n"/>
      <c r="E220" s="20" t="n"/>
    </row>
    <row r="221" hidden="1" s="79">
      <c r="C221" s="20" t="n"/>
      <c r="D221" s="20" t="n"/>
      <c r="E221" s="20" t="n"/>
    </row>
    <row r="222" hidden="1" s="79">
      <c r="C222" s="20" t="n"/>
      <c r="D222" s="20" t="n"/>
      <c r="E222" s="20" t="n"/>
    </row>
    <row r="223" hidden="1" s="79">
      <c r="C223" s="20" t="n"/>
      <c r="D223" s="20" t="n"/>
      <c r="E223" s="20" t="n"/>
    </row>
    <row r="224" hidden="1" s="79">
      <c r="C224" s="20" t="n"/>
      <c r="D224" s="20" t="n"/>
      <c r="E224" s="20" t="n"/>
    </row>
    <row r="225" hidden="1" s="79">
      <c r="C225" s="20" t="n"/>
      <c r="D225" s="20" t="n"/>
      <c r="E225" s="20" t="n"/>
      <c r="N225" s="76" t="n"/>
    </row>
    <row r="226" hidden="1" s="79">
      <c r="C226" s="20" t="n"/>
      <c r="D226" s="20" t="n"/>
      <c r="E226" s="20" t="n"/>
      <c r="N226" s="76" t="n"/>
    </row>
    <row r="227" hidden="1" s="79">
      <c r="C227" s="20" t="n"/>
      <c r="D227" s="20" t="n"/>
      <c r="E227" s="20" t="n"/>
    </row>
    <row r="228" hidden="1" s="79">
      <c r="C228" s="20" t="n"/>
      <c r="D228" s="20" t="n"/>
      <c r="E228" s="20" t="n"/>
    </row>
    <row r="229" hidden="1" s="79">
      <c r="C229" s="20" t="n"/>
      <c r="D229" s="20" t="n"/>
      <c r="E229" s="20" t="n"/>
    </row>
    <row r="230" hidden="1" s="79">
      <c r="C230" s="20" t="n"/>
      <c r="D230" s="20" t="n"/>
      <c r="E230" s="20" t="n"/>
    </row>
    <row r="231" hidden="1" s="79">
      <c r="C231" s="20" t="n"/>
      <c r="D231" s="20" t="n"/>
      <c r="E231" s="20" t="n"/>
    </row>
    <row r="232" hidden="1" s="79">
      <c r="C232" s="20" t="n"/>
      <c r="D232" s="20" t="n"/>
      <c r="E232" s="20" t="n"/>
      <c r="N232" s="76" t="n"/>
    </row>
    <row r="233" hidden="1" s="79">
      <c r="C233" s="20" t="n"/>
      <c r="D233" s="20" t="n"/>
      <c r="E233" s="20" t="n"/>
    </row>
    <row r="234" hidden="1" s="79">
      <c r="C234" s="20" t="n"/>
      <c r="D234" s="20" t="n"/>
      <c r="E234" s="20" t="n"/>
    </row>
    <row r="235" hidden="1" s="79">
      <c r="C235" s="20" t="n"/>
      <c r="D235" s="20" t="n"/>
      <c r="E235" s="20" t="n"/>
      <c r="I235" s="14" t="n"/>
      <c r="J235" s="12" t="n"/>
      <c r="K235" s="14" t="n"/>
    </row>
    <row r="236" hidden="1" s="79">
      <c r="C236" s="20" t="n"/>
      <c r="D236" s="20" t="n"/>
      <c r="E236" s="20" t="n"/>
    </row>
    <row r="237" hidden="1" s="79">
      <c r="C237" s="20" t="n"/>
      <c r="D237" s="20" t="n"/>
      <c r="E237" s="20" t="n"/>
    </row>
    <row r="238" hidden="1" s="79">
      <c r="C238" s="20" t="n"/>
      <c r="D238" s="20" t="n"/>
      <c r="E238" s="20" t="n"/>
      <c r="N238" s="76" t="n"/>
    </row>
    <row r="239" hidden="1" s="79">
      <c r="C239" s="20" t="n"/>
      <c r="D239" s="20" t="n"/>
      <c r="E239" s="20" t="n"/>
    </row>
    <row r="240" hidden="1" s="79">
      <c r="C240" s="20" t="n"/>
      <c r="D240" s="20" t="n"/>
      <c r="E240" s="20" t="n"/>
    </row>
    <row r="241" hidden="1" s="79">
      <c r="C241" s="20" t="n"/>
      <c r="D241" s="20" t="n"/>
      <c r="E241" s="20" t="n"/>
    </row>
    <row r="242" hidden="1" s="79">
      <c r="C242" s="20" t="n"/>
      <c r="D242" s="20" t="n"/>
      <c r="E242" s="20" t="n"/>
    </row>
    <row r="243" hidden="1" s="79">
      <c r="C243" s="20" t="n"/>
      <c r="D243" s="20" t="n"/>
      <c r="E243" s="20" t="n"/>
    </row>
    <row r="244" hidden="1" s="79">
      <c r="C244" s="20" t="n"/>
      <c r="D244" s="20" t="n"/>
      <c r="E244" s="20" t="n"/>
    </row>
    <row r="245" hidden="1" s="79">
      <c r="C245" s="20" t="n"/>
      <c r="D245" s="20" t="n"/>
      <c r="E245" s="20" t="n"/>
    </row>
    <row r="246" hidden="1" s="79">
      <c r="C246" s="20" t="n"/>
      <c r="D246" s="20" t="n"/>
      <c r="E246" s="20" t="n"/>
    </row>
    <row r="247" hidden="1" s="79">
      <c r="C247" s="20" t="n"/>
      <c r="D247" s="20" t="n"/>
      <c r="E247" s="20" t="n"/>
    </row>
    <row r="248" hidden="1" s="79">
      <c r="C248" s="20" t="n"/>
      <c r="D248" s="20" t="n"/>
      <c r="E248" s="20" t="n"/>
    </row>
    <row r="249" hidden="1" s="79">
      <c r="C249" s="20" t="n"/>
      <c r="D249" s="20" t="n"/>
      <c r="E249" s="20" t="n"/>
    </row>
    <row r="250" hidden="1" s="79">
      <c r="C250" s="20" t="n"/>
      <c r="D250" s="20" t="n"/>
      <c r="E250" s="20" t="n"/>
    </row>
    <row r="251" hidden="1" s="79">
      <c r="C251" s="20" t="n"/>
      <c r="D251" s="20" t="n"/>
      <c r="E251" s="20" t="n"/>
    </row>
    <row r="252" hidden="1" s="79">
      <c r="C252" s="20" t="n"/>
      <c r="D252" s="20" t="n"/>
      <c r="E252" s="20" t="n"/>
    </row>
    <row r="253" hidden="1" s="79">
      <c r="C253" s="20" t="n"/>
      <c r="D253" s="20" t="n"/>
      <c r="E253" s="20" t="n"/>
    </row>
    <row r="254" hidden="1" s="79">
      <c r="C254" s="20" t="n"/>
      <c r="D254" s="20" t="n"/>
      <c r="E254" s="20" t="n"/>
    </row>
    <row r="255" hidden="1" s="79">
      <c r="C255" s="20" t="n"/>
      <c r="D255" s="20" t="n"/>
      <c r="E255" s="20" t="n"/>
      <c r="N255" s="76" t="n"/>
    </row>
    <row r="256" hidden="1" s="79">
      <c r="C256" s="20" t="n"/>
      <c r="D256" s="20" t="n"/>
      <c r="E256" s="20" t="n"/>
      <c r="N256" s="76" t="n"/>
    </row>
    <row r="257" hidden="1" s="79">
      <c r="C257" s="20" t="n"/>
      <c r="D257" s="20" t="n"/>
      <c r="E257" s="20" t="n"/>
    </row>
    <row r="258" hidden="1" s="79">
      <c r="C258" s="20" t="n"/>
      <c r="D258" s="20" t="n"/>
      <c r="E258" s="20" t="n"/>
      <c r="N258" s="76" t="n"/>
    </row>
    <row r="259" hidden="1" s="79">
      <c r="C259" s="20" t="n"/>
      <c r="D259" s="20" t="n"/>
      <c r="E259" s="20" t="n"/>
    </row>
    <row r="260" hidden="1" s="79">
      <c r="C260" s="20" t="n"/>
      <c r="D260" s="20" t="n"/>
      <c r="E260" s="20" t="n"/>
    </row>
    <row r="261" hidden="1" s="79">
      <c r="C261" s="20" t="n"/>
      <c r="D261" s="20" t="n"/>
      <c r="E261" s="20" t="n"/>
    </row>
    <row r="262" hidden="1" s="79">
      <c r="C262" s="20" t="n"/>
      <c r="D262" s="20" t="n"/>
      <c r="E262" s="20" t="n"/>
    </row>
    <row r="263" hidden="1" s="79">
      <c r="C263" s="20" t="n"/>
      <c r="D263" s="20" t="n"/>
      <c r="E263" s="20" t="n"/>
    </row>
    <row r="264" hidden="1" s="79">
      <c r="C264" s="20" t="n"/>
      <c r="D264" s="20" t="n"/>
      <c r="E264" s="20" t="n"/>
      <c r="N264" s="76" t="n"/>
    </row>
    <row r="265" hidden="1" s="79">
      <c r="C265" s="20" t="n"/>
      <c r="D265" s="20" t="n"/>
      <c r="E265" s="20" t="n"/>
    </row>
    <row r="266" hidden="1" s="79">
      <c r="C266" s="20" t="n"/>
      <c r="D266" s="20" t="n"/>
      <c r="E266" s="20" t="n"/>
    </row>
    <row r="267" hidden="1" s="79">
      <c r="C267" s="20" t="n"/>
      <c r="D267" s="20" t="n"/>
      <c r="E267" s="20" t="n"/>
    </row>
    <row r="268" hidden="1" s="79">
      <c r="C268" s="20" t="n"/>
      <c r="D268" s="20" t="n"/>
      <c r="E268" s="20" t="n"/>
    </row>
    <row r="269" hidden="1" s="79">
      <c r="C269" s="20" t="n"/>
      <c r="D269" s="20" t="n"/>
      <c r="E269" s="20" t="n"/>
    </row>
    <row r="270" hidden="1" s="79">
      <c r="C270" s="20" t="n"/>
      <c r="D270" s="20" t="n"/>
      <c r="E270" s="20" t="n"/>
    </row>
    <row r="271" hidden="1" s="79">
      <c r="C271" s="20" t="n"/>
      <c r="D271" s="20" t="n"/>
      <c r="E271" s="20" t="n"/>
    </row>
    <row r="272" hidden="1" s="79">
      <c r="C272" s="20" t="n"/>
      <c r="D272" s="20" t="n"/>
      <c r="E272" s="20" t="n"/>
    </row>
    <row r="273" hidden="1" s="79">
      <c r="C273" s="20" t="n"/>
      <c r="D273" s="20" t="n"/>
      <c r="E273" s="20" t="n"/>
    </row>
    <row r="274" hidden="1" s="79">
      <c r="C274" s="20" t="n"/>
      <c r="D274" s="20" t="n"/>
      <c r="E274" s="20" t="n"/>
      <c r="N274" s="76" t="n"/>
    </row>
    <row r="275" hidden="1" s="79">
      <c r="C275" s="20" t="n"/>
      <c r="D275" s="20" t="n"/>
      <c r="E275" s="20" t="n"/>
      <c r="I275" s="12" t="n"/>
      <c r="J275" s="57" t="n"/>
    </row>
    <row r="276" hidden="1" s="79">
      <c r="C276" s="20" t="n"/>
      <c r="D276" s="20" t="n"/>
      <c r="E276" s="20" t="n"/>
    </row>
    <row r="277" hidden="1" s="79">
      <c r="C277" s="20" t="n"/>
      <c r="D277" s="20" t="n"/>
      <c r="E277" s="20" t="n"/>
    </row>
    <row r="278" hidden="1" s="79">
      <c r="C278" s="20" t="n"/>
      <c r="D278" s="20" t="n"/>
      <c r="E278" s="20" t="n"/>
      <c r="N278" s="76" t="n"/>
    </row>
    <row r="279" hidden="1" s="79">
      <c r="C279" s="20" t="n"/>
      <c r="D279" s="20" t="n"/>
      <c r="E279" s="20" t="n"/>
    </row>
    <row r="280" hidden="1" s="79">
      <c r="C280" s="20" t="n"/>
      <c r="D280" s="20" t="n"/>
      <c r="E280" s="20" t="n"/>
    </row>
    <row r="281" hidden="1" s="79">
      <c r="C281" s="20" t="n"/>
      <c r="D281" s="20" t="n"/>
      <c r="E281" s="20" t="n"/>
    </row>
    <row r="282" hidden="1" s="79">
      <c r="C282" s="20" t="n"/>
      <c r="D282" s="20" t="n"/>
      <c r="E282" s="20" t="n"/>
    </row>
    <row r="283" hidden="1" s="79">
      <c r="C283" s="20" t="n"/>
      <c r="D283" s="20" t="n"/>
      <c r="E283" s="20" t="n"/>
    </row>
    <row r="284" hidden="1" s="79">
      <c r="C284" s="20" t="n"/>
      <c r="D284" s="20" t="n"/>
      <c r="E284" s="20" t="n"/>
    </row>
    <row r="285" hidden="1" s="79">
      <c r="C285" s="20" t="n"/>
      <c r="D285" s="20" t="n"/>
      <c r="E285" s="20" t="n"/>
    </row>
    <row r="286" hidden="1" s="79">
      <c r="C286" s="20" t="n"/>
      <c r="D286" s="20" t="n"/>
      <c r="E286" s="20" t="n"/>
    </row>
    <row r="287" hidden="1" s="79">
      <c r="C287" s="20" t="n"/>
      <c r="D287" s="20" t="n"/>
      <c r="E287" s="20" t="n"/>
    </row>
    <row r="288" hidden="1" s="79">
      <c r="C288" s="20" t="n"/>
      <c r="D288" s="20" t="n"/>
      <c r="E288" s="20" t="n"/>
      <c r="J288" s="12" t="n"/>
      <c r="N288" s="76" t="n"/>
    </row>
    <row r="289" hidden="1" s="79">
      <c r="C289" s="20" t="n"/>
      <c r="D289" s="20" t="n"/>
      <c r="E289" s="20" t="n"/>
      <c r="N289" s="76" t="n"/>
    </row>
    <row r="290" hidden="1" s="79">
      <c r="C290" s="20" t="n"/>
      <c r="D290" s="20" t="n"/>
      <c r="E290" s="20" t="n"/>
    </row>
    <row r="291" hidden="1" s="79">
      <c r="C291" s="20" t="n"/>
      <c r="D291" s="20" t="n"/>
      <c r="E291" s="20" t="n"/>
    </row>
    <row r="292" hidden="1" s="79">
      <c r="C292" s="20" t="n"/>
      <c r="D292" s="20" t="n"/>
      <c r="E292" s="20" t="n"/>
    </row>
    <row r="293" hidden="1" s="79">
      <c r="C293" s="20" t="n"/>
      <c r="D293" s="20" t="n"/>
      <c r="E293" s="20" t="n"/>
    </row>
    <row r="294" hidden="1" s="79">
      <c r="C294" s="20" t="n"/>
      <c r="D294" s="20" t="n"/>
      <c r="E294" s="20" t="n"/>
    </row>
    <row r="295" hidden="1" s="79">
      <c r="C295" s="20" t="n"/>
      <c r="D295" s="20" t="n"/>
      <c r="E295" s="20" t="n"/>
    </row>
    <row r="296" hidden="1" s="79">
      <c r="C296" s="20" t="n"/>
      <c r="D296" s="20" t="n"/>
      <c r="E296" s="20" t="n"/>
      <c r="N296" s="76" t="n"/>
    </row>
    <row r="297" hidden="1" s="79">
      <c r="C297" s="20" t="n"/>
      <c r="D297" s="20" t="n"/>
      <c r="E297" s="20" t="n"/>
      <c r="N297" s="76" t="n"/>
    </row>
    <row r="298" hidden="1" s="79">
      <c r="C298" s="20" t="n"/>
      <c r="D298" s="20" t="n"/>
      <c r="E298" s="20" t="n"/>
    </row>
    <row r="299" hidden="1" s="79">
      <c r="C299" s="20" t="n"/>
      <c r="D299" s="20" t="n"/>
      <c r="E299" s="20" t="n"/>
    </row>
    <row r="300" hidden="1" s="79">
      <c r="C300" s="20" t="n"/>
      <c r="D300" s="20" t="n"/>
      <c r="E300" s="20" t="n"/>
    </row>
    <row r="301" hidden="1" s="79">
      <c r="C301" s="20" t="n"/>
      <c r="D301" s="20" t="n"/>
      <c r="E301" s="20" t="n"/>
    </row>
    <row r="302" hidden="1" s="79">
      <c r="C302" s="20" t="n"/>
      <c r="D302" s="20" t="n"/>
      <c r="E302" s="20" t="n"/>
    </row>
    <row r="303" hidden="1" s="79">
      <c r="C303" s="20" t="n"/>
      <c r="D303" s="20" t="n"/>
      <c r="E303" s="20" t="n"/>
      <c r="I303" s="12" t="n"/>
      <c r="J303" s="12" t="n"/>
    </row>
    <row r="304" hidden="1" s="79">
      <c r="C304" s="20" t="n"/>
      <c r="D304" s="20" t="n"/>
      <c r="E304" s="20" t="n"/>
    </row>
    <row r="305" hidden="1" s="79">
      <c r="C305" s="20" t="n"/>
      <c r="D305" s="20" t="n"/>
      <c r="E305" s="20" t="n"/>
    </row>
    <row r="306" hidden="1" s="79">
      <c r="C306" s="20" t="n"/>
      <c r="D306" s="20" t="n"/>
      <c r="E306" s="20" t="n"/>
    </row>
    <row r="307" hidden="1" s="79">
      <c r="C307" s="20" t="n"/>
      <c r="D307" s="20" t="n"/>
      <c r="E307" s="20" t="n"/>
    </row>
    <row r="308" hidden="1" s="79">
      <c r="C308" s="20" t="n"/>
      <c r="D308" s="20" t="n"/>
      <c r="E308" s="20" t="n"/>
    </row>
    <row r="309" hidden="1" s="79">
      <c r="C309" s="20" t="n"/>
      <c r="D309" s="20" t="n"/>
      <c r="E309" s="20" t="n"/>
    </row>
    <row r="310" hidden="1" s="79">
      <c r="C310" s="20" t="n"/>
      <c r="D310" s="20" t="n"/>
      <c r="E310" s="20" t="n"/>
    </row>
    <row r="311" hidden="1" s="79">
      <c r="C311" s="20" t="n"/>
      <c r="D311" s="20" t="n"/>
      <c r="E311" s="20" t="n"/>
    </row>
    <row r="312" hidden="1" s="79">
      <c r="C312" s="20" t="n"/>
      <c r="D312" s="20" t="n"/>
      <c r="E312" s="20" t="n"/>
    </row>
    <row r="313" hidden="1" s="79">
      <c r="C313" s="20" t="n"/>
      <c r="D313" s="20" t="n"/>
      <c r="E313" s="20" t="n"/>
    </row>
    <row r="314" hidden="1" s="79">
      <c r="C314" s="20" t="n"/>
      <c r="D314" s="20" t="n"/>
      <c r="E314" s="20" t="n"/>
    </row>
    <row r="315" hidden="1" s="79">
      <c r="C315" s="20" t="n"/>
      <c r="D315" s="20" t="n"/>
      <c r="E315" s="20" t="n"/>
    </row>
    <row r="316" hidden="1" s="79">
      <c r="C316" s="20" t="n"/>
      <c r="D316" s="20" t="n"/>
      <c r="E316" s="20" t="n"/>
    </row>
    <row r="317" hidden="1" s="79">
      <c r="C317" s="20" t="n"/>
      <c r="D317" s="20" t="n"/>
      <c r="E317" s="20" t="n"/>
    </row>
    <row r="318" hidden="1" s="79">
      <c r="C318" s="20" t="n"/>
      <c r="D318" s="20" t="n"/>
      <c r="E318" s="20" t="n"/>
    </row>
    <row r="319" hidden="1" s="79">
      <c r="C319" s="20" t="n"/>
      <c r="D319" s="20" t="n"/>
      <c r="E319" s="20" t="n"/>
    </row>
    <row r="320" hidden="1" s="79">
      <c r="C320" s="20" t="n"/>
      <c r="D320" s="20" t="n"/>
      <c r="E320" s="20" t="n"/>
    </row>
    <row r="321" hidden="1" s="79">
      <c r="C321" s="20" t="n"/>
      <c r="D321" s="20" t="n"/>
      <c r="E321" s="20" t="n"/>
    </row>
    <row r="322" hidden="1" s="79">
      <c r="C322" s="20" t="n"/>
      <c r="D322" s="20" t="n"/>
      <c r="E322" s="20" t="n"/>
    </row>
    <row r="323" hidden="1" s="79">
      <c r="C323" s="20" t="n"/>
      <c r="D323" s="20" t="n"/>
      <c r="E323" s="20" t="n"/>
    </row>
    <row r="324" hidden="1" s="79">
      <c r="C324" s="20" t="n"/>
      <c r="D324" s="20" t="n"/>
      <c r="E324" s="20" t="n"/>
    </row>
    <row r="325" hidden="1" s="79">
      <c r="C325" s="20" t="n"/>
      <c r="D325" s="20" t="n"/>
      <c r="E325" s="20" t="n"/>
    </row>
    <row r="326" hidden="1" s="79">
      <c r="C326" s="20" t="n"/>
      <c r="D326" s="20" t="n"/>
      <c r="E326" s="20" t="n"/>
    </row>
    <row r="327" hidden="1" s="79">
      <c r="C327" s="20" t="n"/>
      <c r="D327" s="20" t="n"/>
      <c r="E327" s="20" t="n"/>
    </row>
    <row r="328" hidden="1" s="79">
      <c r="C328" s="20" t="n"/>
      <c r="D328" s="20" t="n"/>
      <c r="E328" s="20" t="n"/>
    </row>
    <row r="329" hidden="1" s="79">
      <c r="C329" s="20" t="n"/>
      <c r="D329" s="20" t="n"/>
      <c r="E329" s="20" t="n"/>
    </row>
    <row r="330" hidden="1" s="79">
      <c r="C330" s="20" t="n"/>
      <c r="D330" s="20" t="n"/>
      <c r="E330" s="20" t="n"/>
    </row>
    <row r="331" hidden="1" s="79">
      <c r="C331" s="20" t="n"/>
      <c r="D331" s="20" t="n"/>
      <c r="E331" s="20" t="n"/>
    </row>
    <row r="332" hidden="1" s="79">
      <c r="C332" s="20" t="n"/>
      <c r="D332" s="20" t="n"/>
      <c r="E332" s="20" t="n"/>
    </row>
    <row r="333" hidden="1" s="79">
      <c r="C333" s="20" t="n"/>
      <c r="D333" s="20" t="n"/>
      <c r="E333" s="20" t="n"/>
    </row>
    <row r="334" hidden="1" s="79">
      <c r="C334" s="20" t="n"/>
      <c r="D334" s="20" t="n"/>
      <c r="E334" s="20" t="n"/>
    </row>
    <row r="335" hidden="1" s="79">
      <c r="C335" s="20" t="n"/>
      <c r="D335" s="20" t="n"/>
      <c r="E335" s="20" t="n"/>
    </row>
    <row r="336" hidden="1" s="79">
      <c r="C336" s="20" t="n"/>
      <c r="D336" s="20" t="n"/>
      <c r="E336" s="20" t="n"/>
    </row>
    <row r="337" hidden="1" s="79">
      <c r="C337" s="20" t="n"/>
      <c r="D337" s="20" t="n"/>
      <c r="E337" s="20" t="n"/>
    </row>
    <row r="338" hidden="1" s="79">
      <c r="C338" s="20" t="n"/>
      <c r="D338" s="20" t="n"/>
      <c r="E338" s="20" t="n"/>
    </row>
    <row r="339" hidden="1" s="79">
      <c r="C339" s="20" t="n"/>
      <c r="D339" s="20" t="n"/>
      <c r="E339" s="20" t="n"/>
    </row>
    <row r="340" hidden="1" s="79">
      <c r="C340" s="20" t="n"/>
      <c r="D340" s="20" t="n"/>
      <c r="E340" s="20" t="n"/>
    </row>
    <row r="341" hidden="1" s="79">
      <c r="C341" s="20" t="n"/>
      <c r="D341" s="20" t="n"/>
      <c r="E341" s="20" t="n"/>
    </row>
    <row r="342" hidden="1" s="79">
      <c r="C342" s="20" t="n"/>
      <c r="D342" s="20" t="n"/>
      <c r="E342" s="20" t="n"/>
    </row>
    <row r="343" hidden="1" s="79">
      <c r="C343" s="20" t="n"/>
      <c r="D343" s="20" t="n"/>
      <c r="E343" s="20" t="n"/>
    </row>
    <row r="344" hidden="1" s="79">
      <c r="C344" s="20" t="n"/>
      <c r="D344" s="20" t="n"/>
      <c r="E344" s="20" t="n"/>
    </row>
    <row r="345" hidden="1" s="79">
      <c r="C345" s="20" t="n"/>
      <c r="D345" s="20" t="n"/>
      <c r="E345" s="20" t="n"/>
    </row>
    <row r="346" hidden="1" s="79">
      <c r="C346" s="20" t="n"/>
      <c r="D346" s="20" t="n"/>
      <c r="E346" s="20" t="n"/>
    </row>
    <row r="347" hidden="1" customFormat="1" s="1">
      <c r="A347" s="74" t="n"/>
      <c r="B347" s="12" t="n"/>
      <c r="C347" s="20" t="n"/>
      <c r="D347" s="20" t="n"/>
      <c r="E347" s="20" t="n"/>
      <c r="F347" s="12" t="n"/>
      <c r="G347" s="12" t="n"/>
      <c r="H347" s="12" t="n"/>
      <c r="I347" s="38" t="n"/>
      <c r="J347" s="39" t="n"/>
      <c r="K347" s="38" t="n"/>
      <c r="L347" s="75" t="n"/>
      <c r="M347" s="12" t="n"/>
      <c r="N347" s="76" t="n"/>
      <c r="O347" s="12" t="n"/>
      <c r="P347" s="12" t="n"/>
      <c r="Q347" s="12" t="n"/>
      <c r="R347" s="77" t="n"/>
    </row>
    <row r="348" hidden="1" s="79">
      <c r="C348" s="20" t="n"/>
      <c r="D348" s="20" t="n"/>
      <c r="E348" s="20" t="n"/>
    </row>
    <row r="349" hidden="1" s="79">
      <c r="C349" s="20" t="n"/>
      <c r="D349" s="20" t="n"/>
      <c r="E349" s="20" t="n"/>
    </row>
    <row r="350" hidden="1" s="79">
      <c r="C350" s="20" t="n"/>
      <c r="D350" s="20" t="n"/>
      <c r="E350" s="20" t="n"/>
    </row>
    <row r="351" hidden="1" s="79">
      <c r="C351" s="20" t="n"/>
      <c r="D351" s="20" t="n"/>
      <c r="E351" s="20" t="n"/>
      <c r="I351" s="12" t="n"/>
      <c r="J351" s="12" t="n"/>
    </row>
    <row r="352" hidden="1" s="79">
      <c r="C352" s="20" t="n"/>
      <c r="D352" s="20" t="n"/>
      <c r="E352" s="20" t="n"/>
    </row>
    <row r="353" hidden="1" s="79">
      <c r="C353" s="20" t="n"/>
      <c r="D353" s="20" t="n"/>
      <c r="E353" s="20" t="n"/>
      <c r="N353" s="76" t="n"/>
    </row>
    <row r="354" hidden="1" s="79">
      <c r="C354" s="20" t="n"/>
      <c r="D354" s="20" t="n"/>
      <c r="E354" s="20" t="n"/>
    </row>
    <row r="355" hidden="1" s="79">
      <c r="C355" s="20" t="n"/>
      <c r="D355" s="20" t="n"/>
      <c r="E355" s="20" t="n"/>
    </row>
    <row r="356" hidden="1" s="79">
      <c r="C356" s="20" t="n"/>
      <c r="D356" s="20" t="n"/>
      <c r="E356" s="20" t="n"/>
    </row>
    <row r="357" hidden="1" s="79">
      <c r="C357" s="20" t="n"/>
      <c r="D357" s="20" t="n"/>
      <c r="E357" s="20" t="n"/>
      <c r="N357" s="76" t="n"/>
    </row>
    <row r="358" hidden="1" s="79">
      <c r="C358" s="20" t="n"/>
      <c r="D358" s="20" t="n"/>
      <c r="E358" s="20" t="n"/>
    </row>
    <row r="359" hidden="1" s="79">
      <c r="C359" s="20" t="n"/>
      <c r="D359" s="20" t="n"/>
      <c r="E359" s="20" t="n"/>
    </row>
    <row r="360" hidden="1" s="79">
      <c r="C360" s="20" t="n"/>
      <c r="D360" s="20" t="n"/>
      <c r="E360" s="20" t="n"/>
    </row>
    <row r="361" hidden="1" s="79">
      <c r="C361" s="20" t="n"/>
      <c r="D361" s="20" t="n"/>
      <c r="E361" s="20" t="n"/>
    </row>
    <row r="362" hidden="1" s="79">
      <c r="C362" s="20" t="n"/>
      <c r="D362" s="20" t="n"/>
      <c r="E362" s="20" t="n"/>
    </row>
    <row r="363" hidden="1" s="79">
      <c r="C363" s="20" t="n"/>
      <c r="D363" s="20" t="n"/>
      <c r="E363" s="20" t="n"/>
      <c r="N363" s="76" t="n"/>
    </row>
    <row r="364" hidden="1" s="79">
      <c r="C364" s="20" t="n"/>
      <c r="D364" s="20" t="n"/>
      <c r="E364" s="20" t="n"/>
      <c r="N364" s="76" t="n"/>
    </row>
    <row r="365" hidden="1" s="79">
      <c r="C365" s="20" t="n"/>
      <c r="D365" s="20" t="n"/>
      <c r="E365" s="20" t="n"/>
      <c r="N365" s="76" t="n"/>
    </row>
    <row r="366" hidden="1" s="79">
      <c r="C366" s="20" t="n"/>
      <c r="D366" s="20" t="n"/>
      <c r="E366" s="20" t="n"/>
      <c r="N366" s="76" t="n"/>
    </row>
    <row r="367" hidden="1" s="79">
      <c r="C367" s="20" t="n"/>
      <c r="D367" s="20" t="n"/>
      <c r="E367" s="20" t="n"/>
      <c r="N367" s="76" t="n"/>
    </row>
    <row r="368" hidden="1" s="79">
      <c r="C368" s="20" t="n"/>
      <c r="D368" s="20" t="n"/>
      <c r="E368" s="20" t="n"/>
      <c r="N368" s="76" t="n"/>
    </row>
    <row r="369" hidden="1" s="79">
      <c r="C369" s="20" t="n"/>
      <c r="D369" s="20" t="n"/>
      <c r="E369" s="20" t="n"/>
      <c r="N369" s="76" t="n"/>
    </row>
    <row r="370" hidden="1" s="79">
      <c r="C370" s="20" t="n"/>
      <c r="D370" s="20" t="n"/>
      <c r="E370" s="20" t="n"/>
      <c r="N370" s="76" t="n"/>
    </row>
    <row r="371" hidden="1" s="79">
      <c r="C371" s="20" t="n"/>
      <c r="D371" s="20" t="n"/>
      <c r="E371" s="20" t="n"/>
    </row>
    <row r="372" hidden="1" s="79">
      <c r="C372" s="20" t="n"/>
      <c r="D372" s="20" t="n"/>
      <c r="E372" s="20" t="n"/>
    </row>
    <row r="373" hidden="1" s="79">
      <c r="C373" s="20" t="n"/>
      <c r="D373" s="20" t="n"/>
      <c r="E373" s="20" t="n"/>
    </row>
    <row r="374" hidden="1" s="79">
      <c r="C374" s="20" t="n"/>
      <c r="D374" s="20" t="n"/>
      <c r="E374" s="20" t="n"/>
    </row>
    <row r="375" hidden="1" s="79">
      <c r="C375" s="20" t="n"/>
      <c r="D375" s="20" t="n"/>
      <c r="E375" s="20" t="n"/>
    </row>
    <row r="376" hidden="1" s="79">
      <c r="C376" s="20" t="n"/>
      <c r="D376" s="20" t="n"/>
      <c r="E376" s="20" t="n"/>
    </row>
    <row r="377" hidden="1" s="79">
      <c r="C377" s="20" t="n"/>
      <c r="D377" s="20" t="n"/>
      <c r="E377" s="20" t="n"/>
    </row>
    <row r="378" hidden="1" s="79">
      <c r="C378" s="20" t="n"/>
      <c r="D378" s="20" t="n"/>
      <c r="E378" s="20" t="n"/>
    </row>
    <row r="379" hidden="1" s="79">
      <c r="C379" s="20" t="n"/>
      <c r="D379" s="20" t="n"/>
      <c r="E379" s="20" t="n"/>
    </row>
    <row r="380" hidden="1" ht="18.75" customHeight="1" s="79">
      <c r="C380" s="20" t="n"/>
      <c r="D380" s="20" t="n"/>
      <c r="E380" s="20" t="n"/>
    </row>
    <row r="381" hidden="1" ht="18.75" customHeight="1" s="79">
      <c r="C381" s="20" t="n"/>
      <c r="D381" s="20" t="n"/>
      <c r="E381" s="20" t="n"/>
    </row>
    <row r="382" hidden="1" ht="18.75" customHeight="1" s="79"/>
    <row r="383" hidden="1" s="79">
      <c r="C383" s="20" t="n"/>
      <c r="D383" s="20" t="n"/>
      <c r="E383" s="20" t="n"/>
    </row>
    <row r="384" hidden="1" ht="18" customHeight="1" s="79">
      <c r="C384" s="20" t="n"/>
      <c r="D384" s="20" t="n"/>
      <c r="E384" s="20" t="n"/>
    </row>
    <row r="385" hidden="1" ht="19.5" customHeight="1" s="79">
      <c r="C385" s="20" t="n"/>
      <c r="D385" s="20" t="n"/>
      <c r="E385" s="20" t="n"/>
    </row>
    <row r="386" hidden="1" ht="18.75" customHeight="1" s="79">
      <c r="C386" s="20" t="n"/>
      <c r="D386" s="20" t="n"/>
      <c r="E386" s="20" t="n"/>
    </row>
    <row r="387" hidden="1" s="79">
      <c r="C387" s="20" t="n"/>
      <c r="D387" s="20" t="n"/>
      <c r="E387" s="20" t="n"/>
    </row>
    <row r="388" hidden="1" ht="18" customHeight="1" s="79">
      <c r="C388" s="20" t="n"/>
      <c r="D388" s="20" t="n"/>
      <c r="E388" s="20" t="n"/>
    </row>
    <row r="389" hidden="1" ht="19.5" customHeight="1" s="79">
      <c r="C389" s="20" t="n"/>
      <c r="D389" s="20" t="n"/>
      <c r="E389" s="20" t="n"/>
    </row>
    <row r="390" hidden="1" ht="18.75" customHeight="1" s="79">
      <c r="C390" s="20" t="n"/>
      <c r="D390" s="20" t="n"/>
      <c r="E390" s="20" t="n"/>
    </row>
    <row r="391" hidden="1" ht="18.75" customHeight="1" s="79">
      <c r="C391" s="20" t="n"/>
      <c r="D391" s="20" t="n"/>
      <c r="E391" s="20" t="n"/>
    </row>
    <row r="392" hidden="1" ht="19.5" customHeight="1" s="79">
      <c r="C392" s="20" t="n"/>
      <c r="D392" s="20" t="n"/>
      <c r="E392" s="20" t="n"/>
    </row>
    <row r="393" hidden="1" ht="19.5" customHeight="1" s="79">
      <c r="C393" s="20" t="n"/>
      <c r="D393" s="20" t="n"/>
      <c r="E393" s="20" t="n"/>
    </row>
    <row r="394" hidden="1" ht="19.5" customHeight="1" s="79">
      <c r="C394" s="20" t="n"/>
      <c r="D394" s="20" t="n"/>
      <c r="E394" s="20" t="n"/>
    </row>
    <row r="395" hidden="1" ht="19.5" customHeight="1" s="79">
      <c r="C395" s="20" t="n"/>
      <c r="D395" s="20" t="n"/>
      <c r="E395" s="20" t="n"/>
    </row>
    <row r="396" hidden="1" ht="19.5" customHeight="1" s="79">
      <c r="C396" s="20" t="n"/>
      <c r="D396" s="20" t="n"/>
      <c r="E396" s="20" t="n"/>
    </row>
    <row r="397" hidden="1" ht="19.5" customHeight="1" s="79">
      <c r="C397" s="20" t="n"/>
      <c r="D397" s="20" t="n"/>
      <c r="E397" s="20" t="n"/>
    </row>
    <row r="398" hidden="1" ht="18.75" customHeight="1" s="79">
      <c r="C398" s="20" t="n"/>
      <c r="D398" s="20" t="n"/>
      <c r="E398" s="20" t="n"/>
    </row>
    <row r="399" hidden="1" ht="18.75" customHeight="1" s="79">
      <c r="C399" s="20" t="n"/>
      <c r="D399" s="20" t="n"/>
      <c r="E399" s="20" t="n"/>
    </row>
    <row r="400" hidden="1" ht="18.75" customHeight="1" s="79">
      <c r="C400" s="20" t="n"/>
      <c r="D400" s="20" t="n"/>
      <c r="E400" s="20" t="n"/>
    </row>
    <row r="401" hidden="1" ht="18.75" customHeight="1" s="79">
      <c r="C401" s="20" t="n"/>
      <c r="D401" s="20" t="n"/>
      <c r="E401" s="20" t="n"/>
    </row>
    <row r="402" hidden="1" ht="19.5" customHeight="1" s="79">
      <c r="C402" s="20" t="n"/>
      <c r="D402" s="20" t="n"/>
      <c r="E402" s="20" t="n"/>
    </row>
    <row r="403" hidden="1" ht="18" customHeight="1" s="79">
      <c r="C403" s="20" t="n"/>
      <c r="D403" s="20" t="n"/>
      <c r="E403" s="20" t="n"/>
    </row>
    <row r="404" hidden="1" ht="18.75" customHeight="1" s="79">
      <c r="C404" s="20" t="n"/>
      <c r="D404" s="20" t="n"/>
      <c r="E404" s="20" t="n"/>
    </row>
    <row r="405" hidden="1" ht="18.75" customHeight="1" s="79">
      <c r="C405" s="20" t="n"/>
      <c r="D405" s="20" t="n"/>
      <c r="E405" s="20" t="n"/>
    </row>
    <row r="406" hidden="1" ht="18" customHeight="1" s="79">
      <c r="C406" s="20" t="n"/>
      <c r="D406" s="20" t="n"/>
      <c r="E406" s="20" t="n"/>
    </row>
    <row r="407" hidden="1" ht="18.75" customHeight="1" s="79">
      <c r="C407" s="20" t="n"/>
      <c r="D407" s="20" t="n"/>
      <c r="E407" s="20" t="n"/>
    </row>
    <row r="408" hidden="1" ht="19.5" customHeight="1" s="79">
      <c r="C408" s="20" t="n"/>
      <c r="D408" s="20" t="n"/>
      <c r="E408" s="20" t="n"/>
    </row>
    <row r="409" hidden="1" ht="18.75" customHeight="1" s="79">
      <c r="C409" s="20" t="n"/>
      <c r="D409" s="20" t="n"/>
      <c r="E409" s="20" t="n"/>
    </row>
    <row r="410" hidden="1" ht="18" customHeight="1" s="79">
      <c r="C410" s="20" t="n"/>
      <c r="D410" s="20" t="n"/>
      <c r="E410" s="20" t="n"/>
    </row>
    <row r="411" hidden="1" ht="18.75" customHeight="1" s="79">
      <c r="C411" s="20" t="n"/>
      <c r="D411" s="20" t="n"/>
      <c r="E411" s="20" t="n"/>
    </row>
    <row r="412" hidden="1" ht="18.75" customHeight="1" s="79">
      <c r="C412" s="20" t="n"/>
      <c r="D412" s="20" t="n"/>
      <c r="E412" s="20" t="n"/>
    </row>
    <row r="413" hidden="1" ht="19.5" customHeight="1" s="79">
      <c r="C413" s="20" t="n"/>
      <c r="D413" s="20" t="n"/>
      <c r="E413" s="20" t="n"/>
    </row>
    <row r="414" hidden="1" ht="19.5" customHeight="1" s="79">
      <c r="C414" s="20" t="n"/>
      <c r="D414" s="20" t="n"/>
      <c r="E414" s="20" t="n"/>
    </row>
    <row r="415" hidden="1" ht="18" customHeight="1" s="79">
      <c r="C415" s="20" t="n"/>
      <c r="D415" s="20" t="n"/>
      <c r="E415" s="20" t="n"/>
    </row>
    <row r="416" hidden="1" ht="20.25" customHeight="1" s="79">
      <c r="C416" s="20" t="n"/>
      <c r="D416" s="20" t="n"/>
      <c r="E416" s="20" t="n"/>
    </row>
    <row r="417" hidden="1" ht="19.5" customHeight="1" s="79">
      <c r="C417" s="20" t="n"/>
      <c r="D417" s="20" t="n"/>
      <c r="E417" s="20" t="n"/>
    </row>
    <row r="418" hidden="1" ht="18.75" customHeight="1" s="79"/>
    <row r="419" hidden="1" ht="19.5" customHeight="1" s="79">
      <c r="C419" s="20" t="n"/>
      <c r="D419" s="20" t="n"/>
      <c r="E419" s="20" t="n"/>
    </row>
    <row r="420" hidden="1" ht="18.75" customHeight="1" s="79"/>
    <row r="421" hidden="1" ht="18" customHeight="1" s="79"/>
    <row r="422" hidden="1" ht="18.75" customHeight="1" s="79"/>
    <row r="423" hidden="1" ht="19.5" customHeight="1" s="79">
      <c r="C423" s="20" t="n"/>
      <c r="D423" s="20" t="n"/>
      <c r="E423" s="20" t="n"/>
    </row>
    <row r="424" hidden="1" ht="18.75" customHeight="1" s="79"/>
    <row r="425" hidden="1" ht="18.75" customHeight="1" s="79">
      <c r="C425" s="20" t="n"/>
      <c r="D425" s="20" t="n"/>
      <c r="E425" s="20" t="n"/>
    </row>
    <row r="426" hidden="1" ht="18" customHeight="1" s="79">
      <c r="C426" s="20" t="n"/>
      <c r="D426" s="20" t="n"/>
      <c r="E426" s="20" t="n"/>
    </row>
    <row r="427" hidden="1" ht="18.75" customHeight="1" s="79"/>
    <row r="428" hidden="1" ht="18.75" customHeight="1" s="79"/>
    <row r="429" hidden="1" ht="17.25" customHeight="1" s="79">
      <c r="C429" s="20" t="n"/>
      <c r="D429" s="20" t="n"/>
      <c r="E429" s="20" t="n"/>
    </row>
    <row r="430" hidden="1" ht="16.5" customHeight="1" s="79"/>
    <row r="431" hidden="1" ht="20.25" customHeight="1" s="79"/>
    <row r="432" hidden="1" ht="18.75" customHeight="1" s="79">
      <c r="C432" s="20" t="n"/>
      <c r="D432" s="20" t="n"/>
      <c r="E432" s="20" t="n"/>
    </row>
    <row r="433" hidden="1" ht="18.75" customHeight="1" s="79">
      <c r="C433" s="20" t="n"/>
      <c r="D433" s="20" t="n"/>
      <c r="E433" s="20" t="n"/>
    </row>
    <row r="434" hidden="1" ht="19.5" customHeight="1" s="79"/>
    <row r="435">
      <c r="C435" s="20" t="n"/>
      <c r="D435" s="20" t="n"/>
      <c r="E435" s="20" t="n"/>
    </row>
    <row r="436">
      <c r="C436" s="20" t="n"/>
      <c r="D436" s="20" t="n"/>
      <c r="E436" s="20" t="n"/>
    </row>
  </sheetData>
  <autoFilter ref="A4:S434">
    <filterColumn colId="0" hiddenButton="0" showButton="1">
      <filters>
        <dateGroupItem year="2026" month="4" day="21" dateTimeGrouping="day"/>
      </filters>
    </filterColumn>
    <sortState ref="A5:S38">
      <sortCondition descending="1" ref="B4:B434"/>
    </sortState>
  </autoFilter>
  <pageMargins left="0.7" right="0.7" top="0.75" bottom="0.75" header="0.3" footer="0.3"/>
  <pageSetup orientation="landscape" paperSize="8" scale="67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5" filterMode="1">
    <outlinePr summaryBelow="1" summaryRight="1"/>
    <pageSetUpPr/>
  </sheetPr>
  <dimension ref="A1:T436"/>
  <sheetViews>
    <sheetView zoomScale="80" zoomScaleNormal="80" workbookViewId="0">
      <pane ySplit="4" topLeftCell="A20" activePane="bottomLeft" state="frozen"/>
      <selection activeCell="K21" sqref="K21"/>
      <selection pane="bottomLeft" activeCell="E50" sqref="E50"/>
    </sheetView>
  </sheetViews>
  <sheetFormatPr baseColWidth="8" defaultRowHeight="18.75"/>
  <cols>
    <col width="6.125" bestFit="1" customWidth="1" style="74" min="1" max="1"/>
    <col width="9" customWidth="1" style="12" min="2" max="2"/>
    <col width="9" customWidth="1" style="12" min="3" max="8"/>
    <col width="9.5" bestFit="1" customWidth="1" style="38" min="9" max="9"/>
    <col width="10.625" bestFit="1" customWidth="1" style="39" min="10" max="10"/>
    <col width="50.125" bestFit="1" customWidth="1" style="38" min="11" max="11"/>
    <col width="9" customWidth="1" style="75" min="12" max="12"/>
    <col width="12.125" bestFit="1" customWidth="1" style="12" min="13" max="13"/>
    <col width="12.125" customWidth="1" style="76" min="14" max="14"/>
    <col width="11" bestFit="1" customWidth="1" style="12" min="15" max="15"/>
    <col width="13" customWidth="1" style="12" min="16" max="16"/>
    <col width="13" bestFit="1" customWidth="1" style="12" min="17" max="17"/>
    <col width="9" customWidth="1" style="77" min="18" max="18"/>
    <col width="9" customWidth="1" style="1" min="19" max="19"/>
    <col width="55.375" bestFit="1" customWidth="1" style="1" min="20" max="20"/>
  </cols>
  <sheetData>
    <row r="1">
      <c r="A1" s="3" t="n">
        <v>26</v>
      </c>
      <c r="B1" s="3" t="inlineStr">
        <is>
          <t>年</t>
        </is>
      </c>
      <c r="C1" s="3" t="n">
        <v>26</v>
      </c>
      <c r="D1" s="3" t="inlineStr">
        <is>
          <t>年</t>
        </is>
      </c>
      <c r="E1" s="3" t="n"/>
      <c r="F1" s="3" t="n"/>
      <c r="G1" s="3" t="n"/>
      <c r="H1" s="21" t="n"/>
      <c r="I1" s="35" t="n"/>
      <c r="J1" s="36" t="n"/>
      <c r="K1" s="36" t="n"/>
      <c r="L1" s="0" t="n"/>
      <c r="M1" s="0" t="n"/>
      <c r="N1" s="0" t="n"/>
      <c r="O1" s="0" t="n"/>
      <c r="P1" s="0" t="n"/>
      <c r="Q1" s="0" t="n"/>
      <c r="R1" s="0" t="n"/>
      <c r="S1" s="0" t="n"/>
      <c r="T1" s="0" t="n"/>
    </row>
    <row r="2">
      <c r="A2" s="3" t="n">
        <v>4</v>
      </c>
      <c r="B2" s="3" t="inlineStr">
        <is>
          <t>月 21日</t>
        </is>
      </c>
      <c r="C2" s="19" t="n">
        <v>5</v>
      </c>
      <c r="D2" s="3" t="inlineStr">
        <is>
          <t>月 20日</t>
        </is>
      </c>
      <c r="E2" s="3" t="n"/>
      <c r="F2" s="3" t="n"/>
      <c r="G2" s="22" t="inlineStr">
        <is>
          <t>※一行すべて選択して削除！！</t>
        </is>
      </c>
      <c r="H2" s="21" t="n"/>
      <c r="I2" s="35" t="n"/>
      <c r="J2" s="36" t="n"/>
      <c r="K2" s="36" t="n"/>
      <c r="L2" s="0" t="n"/>
      <c r="M2" s="0" t="n"/>
      <c r="N2" s="0" t="n"/>
      <c r="O2" s="0" t="n"/>
      <c r="P2" s="0" t="n"/>
      <c r="Q2" s="0" t="n"/>
      <c r="R2" s="0" t="n"/>
      <c r="S2" s="0" t="n"/>
      <c r="T2" s="0" t="n"/>
    </row>
    <row r="3">
      <c r="A3" s="0" t="n"/>
      <c r="B3" s="0" t="n"/>
      <c r="C3" s="0" t="n"/>
      <c r="D3" s="0" t="n"/>
      <c r="E3" s="0" t="n"/>
      <c r="F3" s="0" t="n"/>
      <c r="G3" s="0" t="n"/>
      <c r="H3" s="0" t="n"/>
      <c r="I3" s="36" t="n"/>
      <c r="J3" s="36" t="n"/>
      <c r="K3" s="36" t="n"/>
      <c r="L3" s="0" t="n"/>
      <c r="M3" s="0" t="n"/>
      <c r="N3" s="0" t="n"/>
      <c r="O3" s="0" t="n"/>
      <c r="P3" s="0" t="n"/>
      <c r="Q3" s="0" t="n"/>
      <c r="R3" s="0" t="n"/>
      <c r="S3" s="0" t="n"/>
      <c r="T3" s="0" t="n"/>
    </row>
    <row r="4">
      <c r="A4" s="2" t="inlineStr">
        <is>
          <t>日付</t>
        </is>
      </c>
      <c r="B4" s="2" t="inlineStr">
        <is>
          <t>氏名</t>
        </is>
      </c>
      <c r="C4" s="2" t="inlineStr">
        <is>
          <t>出勤</t>
        </is>
      </c>
      <c r="D4" s="2" t="inlineStr">
        <is>
          <t>退勤</t>
        </is>
      </c>
      <c r="E4" s="2" t="inlineStr">
        <is>
          <t>残業</t>
        </is>
      </c>
      <c r="F4" s="2" t="inlineStr">
        <is>
          <t>開始</t>
        </is>
      </c>
      <c r="G4" s="2" t="inlineStr">
        <is>
          <t>終了</t>
        </is>
      </c>
      <c r="H4" s="2" t="inlineStr">
        <is>
          <t>職種</t>
        </is>
      </c>
      <c r="I4" s="37" t="inlineStr">
        <is>
          <t>区分</t>
        </is>
      </c>
      <c r="J4" s="37" t="inlineStr">
        <is>
          <t>業務名</t>
        </is>
      </c>
      <c r="K4" s="37" t="inlineStr">
        <is>
          <t>詳細</t>
        </is>
      </c>
      <c r="L4" s="2" t="inlineStr">
        <is>
          <t>時間(h)</t>
        </is>
      </c>
      <c r="M4" s="2" t="inlineStr">
        <is>
          <t>ソフト・機材</t>
        </is>
      </c>
      <c r="N4" s="2" t="inlineStr">
        <is>
          <t>料金</t>
        </is>
      </c>
      <c r="O4" s="2" t="inlineStr">
        <is>
          <t>車両</t>
        </is>
      </c>
      <c r="P4" s="2" t="inlineStr">
        <is>
          <t>発</t>
        </is>
      </c>
      <c r="Q4" s="2" t="inlineStr">
        <is>
          <t>着</t>
        </is>
      </c>
      <c r="R4" s="2" t="inlineStr">
        <is>
          <t>距離</t>
        </is>
      </c>
      <c r="S4" s="2" t="inlineStr">
        <is>
          <t>移動方法</t>
        </is>
      </c>
      <c r="T4" s="2" t="inlineStr">
        <is>
          <t>備考</t>
        </is>
      </c>
    </row>
    <row r="5" hidden="1" s="79">
      <c r="A5" s="74" t="n">
        <v>46133</v>
      </c>
      <c r="B5" s="12" t="inlineStr">
        <is>
          <t>金本</t>
        </is>
      </c>
      <c r="C5" s="20" t="n">
        <v>0.3541666666666667</v>
      </c>
      <c r="D5" s="20" t="n">
        <v>0.7291666666666666</v>
      </c>
      <c r="E5" s="20" t="n">
        <v>0</v>
      </c>
      <c r="F5" s="12" t="inlineStr">
        <is>
          <t>本社</t>
        </is>
      </c>
      <c r="G5" s="12" t="inlineStr">
        <is>
          <t>本社</t>
        </is>
      </c>
      <c r="H5" s="12" t="inlineStr">
        <is>
          <t>助手</t>
        </is>
      </c>
      <c r="I5" s="12" t="inlineStr">
        <is>
          <t>研修</t>
        </is>
      </c>
      <c r="J5" s="12" t="inlineStr">
        <is>
          <t>研修</t>
        </is>
      </c>
      <c r="K5" s="14" t="inlineStr">
        <is>
          <t>明日の社内CAD講習の準備</t>
        </is>
      </c>
      <c r="L5" s="75" t="n">
        <v>3</v>
      </c>
      <c r="M5" s="12" t="inlineStr">
        <is>
          <t>なし</t>
        </is>
      </c>
      <c r="N5" s="76" t="inlineStr">
        <is>
          <t>-</t>
        </is>
      </c>
      <c r="O5" s="12" t="inlineStr">
        <is>
          <t>なし</t>
        </is>
      </c>
      <c r="P5" s="12" t="inlineStr">
        <is>
          <t>-</t>
        </is>
      </c>
      <c r="Q5" s="12" t="inlineStr">
        <is>
          <t>-</t>
        </is>
      </c>
      <c r="R5" s="77" t="inlineStr">
        <is>
          <t>-</t>
        </is>
      </c>
      <c r="S5" s="1" t="inlineStr">
        <is>
          <t>-</t>
        </is>
      </c>
    </row>
    <row r="6" hidden="1" s="79">
      <c r="A6" s="74" t="n">
        <v>46133</v>
      </c>
      <c r="B6" s="12" t="inlineStr">
        <is>
          <t>金本</t>
        </is>
      </c>
      <c r="C6" s="20" t="inlineStr">
        <is>
          <t>-</t>
        </is>
      </c>
      <c r="D6" s="20" t="inlineStr">
        <is>
          <t>-</t>
        </is>
      </c>
      <c r="E6" s="20" t="inlineStr">
        <is>
          <t>-</t>
        </is>
      </c>
      <c r="F6" s="12" t="inlineStr">
        <is>
          <t>-</t>
        </is>
      </c>
      <c r="G6" s="12" t="inlineStr">
        <is>
          <t>-</t>
        </is>
      </c>
      <c r="H6" s="12" t="inlineStr">
        <is>
          <t>助手</t>
        </is>
      </c>
      <c r="I6" s="59" t="inlineStr">
        <is>
          <t>営業</t>
        </is>
      </c>
      <c r="J6" s="1" t="inlineStr">
        <is>
          <t>営業</t>
        </is>
      </c>
      <c r="K6" s="14" t="inlineStr">
        <is>
          <t>錢高 中島さん、鳥居水門 玉井さん、などのメール対応</t>
        </is>
      </c>
      <c r="L6" s="75" t="n">
        <v>1</v>
      </c>
      <c r="M6" s="12" t="inlineStr">
        <is>
          <t>なし</t>
        </is>
      </c>
      <c r="N6" s="76" t="inlineStr">
        <is>
          <t>-</t>
        </is>
      </c>
      <c r="O6" s="12" t="inlineStr">
        <is>
          <t>なし</t>
        </is>
      </c>
      <c r="P6" s="12" t="inlineStr">
        <is>
          <t>-</t>
        </is>
      </c>
      <c r="Q6" s="12" t="inlineStr">
        <is>
          <t>-</t>
        </is>
      </c>
      <c r="R6" s="77" t="inlineStr">
        <is>
          <t>-</t>
        </is>
      </c>
      <c r="S6" s="1" t="inlineStr">
        <is>
          <t>-</t>
        </is>
      </c>
    </row>
    <row r="7" hidden="1" s="79">
      <c r="A7" s="74" t="n">
        <v>46133</v>
      </c>
      <c r="B7" s="12" t="inlineStr">
        <is>
          <t>金本</t>
        </is>
      </c>
      <c r="C7" s="20" t="inlineStr">
        <is>
          <t>-</t>
        </is>
      </c>
      <c r="D7" s="20" t="inlineStr">
        <is>
          <t>-</t>
        </is>
      </c>
      <c r="E7" s="20" t="inlineStr">
        <is>
          <t>-</t>
        </is>
      </c>
      <c r="F7" s="12" t="inlineStr">
        <is>
          <t>-</t>
        </is>
      </c>
      <c r="G7" s="12" t="inlineStr">
        <is>
          <t>-</t>
        </is>
      </c>
      <c r="H7" s="12" t="inlineStr">
        <is>
          <t>助手</t>
        </is>
      </c>
      <c r="I7" s="59" t="inlineStr">
        <is>
          <t>EA105</t>
        </is>
      </c>
      <c r="J7" s="1" t="inlineStr">
        <is>
          <t>鳥居水門</t>
        </is>
      </c>
      <c r="K7" s="14" t="inlineStr">
        <is>
          <t>BIMCIMフォルダの作成</t>
        </is>
      </c>
      <c r="L7" s="75" t="n">
        <v>4</v>
      </c>
      <c r="M7" s="12" t="inlineStr">
        <is>
          <t>なし</t>
        </is>
      </c>
      <c r="N7" s="76" t="inlineStr">
        <is>
          <t>-</t>
        </is>
      </c>
      <c r="O7" s="12" t="inlineStr">
        <is>
          <t>なし</t>
        </is>
      </c>
      <c r="P7" s="12" t="inlineStr">
        <is>
          <t>-</t>
        </is>
      </c>
      <c r="Q7" s="12" t="inlineStr">
        <is>
          <t>-</t>
        </is>
      </c>
      <c r="R7" s="77" t="inlineStr">
        <is>
          <t>-</t>
        </is>
      </c>
      <c r="S7" s="1" t="inlineStr">
        <is>
          <t>-</t>
        </is>
      </c>
    </row>
    <row r="8" hidden="1" s="79">
      <c r="A8" s="74" t="n">
        <v>46133</v>
      </c>
      <c r="B8" s="12" t="inlineStr">
        <is>
          <t>タイ</t>
        </is>
      </c>
      <c r="C8" s="20" t="n">
        <v>0.3541666666666667</v>
      </c>
      <c r="D8" s="20" t="n">
        <v>0.7291666666666666</v>
      </c>
      <c r="E8" s="20" t="n">
        <v>0</v>
      </c>
      <c r="F8" s="12" t="inlineStr">
        <is>
          <t>本社</t>
        </is>
      </c>
      <c r="G8" s="12" t="inlineStr">
        <is>
          <t>本社</t>
        </is>
      </c>
      <c r="H8" s="12" t="inlineStr">
        <is>
          <t>助手</t>
        </is>
      </c>
      <c r="I8" s="38" t="inlineStr">
        <is>
          <t>EA156</t>
        </is>
      </c>
      <c r="J8" s="39" t="inlineStr">
        <is>
          <t>R7寺田拡幅</t>
        </is>
      </c>
      <c r="K8" s="14" t="inlineStr">
        <is>
          <t>寺田拡幅交差点の3Dモデル作成</t>
        </is>
      </c>
      <c r="L8" s="75" t="n">
        <v>8</v>
      </c>
      <c r="M8" s="12" t="inlineStr">
        <is>
          <t>AUTODESK</t>
        </is>
      </c>
      <c r="N8" s="76" t="n">
        <v>1750</v>
      </c>
      <c r="O8" s="12" t="inlineStr">
        <is>
          <t>なし</t>
        </is>
      </c>
      <c r="P8" s="12" t="inlineStr">
        <is>
          <t>-</t>
        </is>
      </c>
      <c r="Q8" s="12" t="inlineStr">
        <is>
          <t>-</t>
        </is>
      </c>
      <c r="R8" s="77" t="inlineStr">
        <is>
          <t>-</t>
        </is>
      </c>
      <c r="S8" s="1" t="inlineStr">
        <is>
          <t>-</t>
        </is>
      </c>
    </row>
    <row r="9" hidden="1" s="79">
      <c r="A9" s="74" t="n">
        <v>46133</v>
      </c>
      <c r="B9" s="12" t="inlineStr">
        <is>
          <t>バタイ</t>
        </is>
      </c>
      <c r="C9" s="20" t="n">
        <v>0.3125</v>
      </c>
      <c r="D9" s="20" t="n">
        <v>0.7083333333333334</v>
      </c>
      <c r="E9" s="20" t="n">
        <v>0.04166666666666666</v>
      </c>
      <c r="F9" s="20" t="inlineStr">
        <is>
          <t>本社</t>
        </is>
      </c>
      <c r="G9" s="20" t="inlineStr">
        <is>
          <t>本社</t>
        </is>
      </c>
      <c r="H9" s="12" t="inlineStr">
        <is>
          <t>助手</t>
        </is>
      </c>
      <c r="I9" s="59" t="inlineStr">
        <is>
          <t>EA45</t>
        </is>
      </c>
      <c r="J9" s="1" t="inlineStr">
        <is>
          <t>北陸</t>
        </is>
      </c>
      <c r="K9" s="14" t="inlineStr">
        <is>
          <t>REVITの資料作成</t>
        </is>
      </c>
      <c r="L9" s="75" t="n">
        <v>8</v>
      </c>
      <c r="M9" s="12" t="inlineStr">
        <is>
          <t>なし</t>
        </is>
      </c>
      <c r="N9" s="76" t="inlineStr">
        <is>
          <t>-</t>
        </is>
      </c>
      <c r="O9" s="12" t="inlineStr">
        <is>
          <t>なし</t>
        </is>
      </c>
      <c r="P9" s="12" t="inlineStr">
        <is>
          <t>-</t>
        </is>
      </c>
      <c r="Q9" s="12" t="inlineStr">
        <is>
          <t>-</t>
        </is>
      </c>
      <c r="R9" s="77" t="inlineStr">
        <is>
          <t>-</t>
        </is>
      </c>
      <c r="S9" s="1" t="inlineStr">
        <is>
          <t>-</t>
        </is>
      </c>
    </row>
    <row r="10" hidden="1" s="79">
      <c r="A10" s="74" t="n">
        <v>46133</v>
      </c>
      <c r="B10" s="12" t="inlineStr">
        <is>
          <t>ズイ</t>
        </is>
      </c>
      <c r="C10" s="20" t="n">
        <v>0.3125</v>
      </c>
      <c r="D10" s="20" t="n">
        <v>0.7083333333333334</v>
      </c>
      <c r="E10" s="20" t="n">
        <v>0.04166666666666666</v>
      </c>
      <c r="F10" s="12" t="inlineStr">
        <is>
          <t>本社</t>
        </is>
      </c>
      <c r="G10" s="12" t="inlineStr">
        <is>
          <t>本社</t>
        </is>
      </c>
      <c r="H10" s="12" t="inlineStr">
        <is>
          <t>助手</t>
        </is>
      </c>
      <c r="I10" s="59" t="inlineStr">
        <is>
          <t>EA134</t>
        </is>
      </c>
      <c r="J10" s="1" t="inlineStr">
        <is>
          <t>教材作成</t>
        </is>
      </c>
      <c r="K10" s="14" t="inlineStr">
        <is>
          <t>Twinmotionによって施工ステップのガイを作成</t>
        </is>
      </c>
      <c r="L10" s="75" t="n">
        <v>8.5</v>
      </c>
      <c r="M10" s="12" t="inlineStr">
        <is>
          <t>AUTODESK</t>
        </is>
      </c>
      <c r="N10" s="76" t="n">
        <v>1750</v>
      </c>
      <c r="O10" s="12" t="inlineStr">
        <is>
          <t>なし</t>
        </is>
      </c>
      <c r="P10" s="12" t="inlineStr">
        <is>
          <t>-</t>
        </is>
      </c>
      <c r="Q10" s="12" t="inlineStr">
        <is>
          <t>-</t>
        </is>
      </c>
      <c r="R10" s="77" t="inlineStr">
        <is>
          <t>-</t>
        </is>
      </c>
      <c r="S10" s="1" t="inlineStr">
        <is>
          <t>-</t>
        </is>
      </c>
    </row>
    <row r="11" hidden="1" s="79">
      <c r="A11" s="74" t="n">
        <v>46133</v>
      </c>
      <c r="B11" s="12" t="inlineStr">
        <is>
          <t>フック</t>
        </is>
      </c>
      <c r="C11" s="20" t="n">
        <v>0.3541666666666667</v>
      </c>
      <c r="D11" s="20" t="n">
        <v>0.7291666666666666</v>
      </c>
      <c r="E11" s="20" t="n">
        <v>0</v>
      </c>
      <c r="F11" s="12" t="inlineStr">
        <is>
          <t>本社</t>
        </is>
      </c>
      <c r="G11" s="12" t="inlineStr">
        <is>
          <t>本社</t>
        </is>
      </c>
      <c r="H11" s="12" t="inlineStr">
        <is>
          <t>助手</t>
        </is>
      </c>
      <c r="I11" s="12" t="inlineStr">
        <is>
          <t>研修</t>
        </is>
      </c>
      <c r="J11" s="12" t="inlineStr">
        <is>
          <t>研修</t>
        </is>
      </c>
      <c r="K11" s="14" t="inlineStr">
        <is>
          <t>明日の社内CAD講習の準備</t>
        </is>
      </c>
      <c r="L11" s="75" t="n">
        <v>3</v>
      </c>
      <c r="M11" s="12" t="inlineStr">
        <is>
          <t>なし</t>
        </is>
      </c>
      <c r="N11" s="76" t="inlineStr">
        <is>
          <t>-</t>
        </is>
      </c>
      <c r="O11" s="12" t="inlineStr">
        <is>
          <t>なし</t>
        </is>
      </c>
      <c r="P11" s="12" t="inlineStr">
        <is>
          <t>-</t>
        </is>
      </c>
      <c r="Q11" s="12" t="inlineStr">
        <is>
          <t>-</t>
        </is>
      </c>
      <c r="R11" s="77" t="inlineStr">
        <is>
          <t>-</t>
        </is>
      </c>
      <c r="S11" s="1" t="inlineStr">
        <is>
          <t>-</t>
        </is>
      </c>
    </row>
    <row r="12" hidden="1" s="79">
      <c r="A12" s="74" t="n">
        <v>46133</v>
      </c>
      <c r="B12" s="12" t="inlineStr">
        <is>
          <t>フック</t>
        </is>
      </c>
      <c r="C12" s="20" t="inlineStr">
        <is>
          <t>-</t>
        </is>
      </c>
      <c r="D12" s="20" t="inlineStr">
        <is>
          <t>-</t>
        </is>
      </c>
      <c r="E12" s="20" t="inlineStr">
        <is>
          <t>-</t>
        </is>
      </c>
      <c r="F12" s="12" t="inlineStr">
        <is>
          <t>-</t>
        </is>
      </c>
      <c r="G12" s="12" t="inlineStr">
        <is>
          <t>-</t>
        </is>
      </c>
      <c r="H12" s="12" t="inlineStr">
        <is>
          <t>助手</t>
        </is>
      </c>
      <c r="I12" s="12" t="inlineStr">
        <is>
          <t>RD28</t>
        </is>
      </c>
      <c r="J12" s="12" t="inlineStr">
        <is>
          <t>小型ドローン</t>
        </is>
      </c>
      <c r="K12" s="14" t="inlineStr">
        <is>
          <t>小型ドローンモデル作成</t>
        </is>
      </c>
      <c r="L12" s="75" t="n">
        <v>5</v>
      </c>
      <c r="M12" s="12" t="inlineStr">
        <is>
          <t>AUTODESK</t>
        </is>
      </c>
      <c r="N12" s="76" t="n">
        <v>1750</v>
      </c>
      <c r="O12" s="12" t="inlineStr">
        <is>
          <t>なし</t>
        </is>
      </c>
      <c r="P12" s="12" t="inlineStr">
        <is>
          <t>-</t>
        </is>
      </c>
      <c r="Q12" s="12" t="inlineStr">
        <is>
          <t>-</t>
        </is>
      </c>
      <c r="R12" s="77" t="inlineStr">
        <is>
          <t>-</t>
        </is>
      </c>
      <c r="S12" s="1" t="inlineStr">
        <is>
          <t>-</t>
        </is>
      </c>
    </row>
    <row r="13" hidden="1" s="79">
      <c r="A13" s="74" t="n">
        <v>46133</v>
      </c>
      <c r="B13" s="12" t="inlineStr">
        <is>
          <t>南</t>
        </is>
      </c>
      <c r="C13" s="20" t="n">
        <v>0.3541666666666667</v>
      </c>
      <c r="D13" s="20" t="n">
        <v>0.7291666666666666</v>
      </c>
      <c r="E13" s="20" t="n">
        <v>0</v>
      </c>
      <c r="F13" s="12" t="inlineStr">
        <is>
          <t>本社</t>
        </is>
      </c>
      <c r="G13" s="12" t="inlineStr">
        <is>
          <t>本社</t>
        </is>
      </c>
      <c r="H13" s="12" t="inlineStr">
        <is>
          <t>助手</t>
        </is>
      </c>
      <c r="I13" s="59" t="inlineStr">
        <is>
          <t>EA156</t>
        </is>
      </c>
      <c r="J13" s="1" t="inlineStr">
        <is>
          <t>R7寺田拡幅</t>
        </is>
      </c>
      <c r="K13" s="38" t="inlineStr">
        <is>
          <t>現地　ガウシアン計測1回目</t>
        </is>
      </c>
      <c r="L13" s="75" t="n">
        <v>8</v>
      </c>
      <c r="M13" s="12" t="inlineStr">
        <is>
          <t>なし</t>
        </is>
      </c>
      <c r="N13" s="76" t="inlineStr">
        <is>
          <t>-</t>
        </is>
      </c>
      <c r="O13" s="12" t="inlineStr">
        <is>
          <t>ハイエース</t>
        </is>
      </c>
      <c r="P13" s="12" t="inlineStr">
        <is>
          <t>本社</t>
        </is>
      </c>
      <c r="Q13" s="12" t="inlineStr">
        <is>
          <t>寺田</t>
        </is>
      </c>
      <c r="R13" s="77" t="n">
        <v>21</v>
      </c>
      <c r="S13" s="1" t="inlineStr">
        <is>
          <t>下道</t>
        </is>
      </c>
    </row>
    <row r="14" hidden="1" s="79">
      <c r="A14" s="74" t="n">
        <v>46133</v>
      </c>
      <c r="B14" s="12" t="inlineStr">
        <is>
          <t>仲</t>
        </is>
      </c>
      <c r="C14" s="20" t="n">
        <v>0.3541666666666667</v>
      </c>
      <c r="D14" s="20" t="n">
        <v>0.7291666666666666</v>
      </c>
      <c r="E14" s="20" t="n">
        <v>0</v>
      </c>
      <c r="F14" s="12" t="inlineStr">
        <is>
          <t>本社</t>
        </is>
      </c>
      <c r="G14" s="12" t="inlineStr">
        <is>
          <t>本社</t>
        </is>
      </c>
      <c r="H14" s="12" t="inlineStr">
        <is>
          <t>助手</t>
        </is>
      </c>
      <c r="I14" s="59" t="inlineStr">
        <is>
          <t>EA156</t>
        </is>
      </c>
      <c r="J14" s="1" t="inlineStr">
        <is>
          <t>R7寺田拡幅</t>
        </is>
      </c>
      <c r="K14" s="38" t="inlineStr">
        <is>
          <t>現地　ガウシアン計測1回目</t>
        </is>
      </c>
      <c r="L14" s="75" t="n">
        <v>8</v>
      </c>
      <c r="M14" s="12" t="inlineStr">
        <is>
          <t>なし</t>
        </is>
      </c>
      <c r="N14" s="76" t="inlineStr">
        <is>
          <t>-</t>
        </is>
      </c>
      <c r="O14" s="12" t="inlineStr">
        <is>
          <t>なし</t>
        </is>
      </c>
      <c r="P14" s="12" t="inlineStr">
        <is>
          <t>-</t>
        </is>
      </c>
      <c r="Q14" s="12" t="inlineStr">
        <is>
          <t>-</t>
        </is>
      </c>
      <c r="R14" s="77" t="inlineStr">
        <is>
          <t>-</t>
        </is>
      </c>
      <c r="S14" s="1" t="inlineStr">
        <is>
          <t>-</t>
        </is>
      </c>
    </row>
    <row r="15" hidden="1" s="79">
      <c r="A15" s="74" t="n">
        <v>46133</v>
      </c>
      <c r="B15" s="12" t="inlineStr">
        <is>
          <t>村上</t>
        </is>
      </c>
      <c r="C15" s="20" t="n">
        <v>0.3541666666666667</v>
      </c>
      <c r="D15" s="20" t="n">
        <v>0.7291666666666666</v>
      </c>
      <c r="E15" s="20" t="n">
        <v>0</v>
      </c>
      <c r="F15" s="12" t="inlineStr">
        <is>
          <t>本社</t>
        </is>
      </c>
      <c r="G15" s="12" t="inlineStr">
        <is>
          <t>本社</t>
        </is>
      </c>
      <c r="H15" s="12" t="inlineStr">
        <is>
          <t>助手</t>
        </is>
      </c>
      <c r="I15" s="38" t="inlineStr">
        <is>
          <t>事務</t>
        </is>
      </c>
      <c r="J15" s="39" t="inlineStr">
        <is>
          <t>事務</t>
        </is>
      </c>
      <c r="K15" s="14" t="inlineStr">
        <is>
          <t>扶養非該当手続き、資格者書郵送、出面表作成、有効期限表更新、メール対応他</t>
        </is>
      </c>
      <c r="L15" s="75" t="n">
        <v>8</v>
      </c>
      <c r="M15" s="12" t="inlineStr">
        <is>
          <t>なし</t>
        </is>
      </c>
      <c r="N15" s="76" t="inlineStr">
        <is>
          <t>-</t>
        </is>
      </c>
      <c r="O15" s="12" t="inlineStr">
        <is>
          <t>なし</t>
        </is>
      </c>
      <c r="P15" s="12" t="inlineStr">
        <is>
          <t>-</t>
        </is>
      </c>
      <c r="Q15" s="12" t="inlineStr">
        <is>
          <t>-</t>
        </is>
      </c>
      <c r="R15" s="77" t="inlineStr">
        <is>
          <t>-</t>
        </is>
      </c>
      <c r="S15" s="1" t="inlineStr">
        <is>
          <t>-</t>
        </is>
      </c>
    </row>
    <row r="16" hidden="1" s="79">
      <c r="A16" s="74" t="n">
        <v>46133</v>
      </c>
      <c r="B16" s="12" t="inlineStr">
        <is>
          <t>千原</t>
        </is>
      </c>
      <c r="C16" s="20" t="n">
        <v>0.3541666666666667</v>
      </c>
      <c r="D16" s="20" t="n">
        <v>0.7291666666666666</v>
      </c>
      <c r="E16" s="20" t="n">
        <v>0</v>
      </c>
      <c r="F16" s="12" t="inlineStr">
        <is>
          <t>リモート</t>
        </is>
      </c>
      <c r="G16" s="12" t="inlineStr">
        <is>
          <t>リモート</t>
        </is>
      </c>
      <c r="H16" s="12" t="inlineStr">
        <is>
          <t>助手</t>
        </is>
      </c>
      <c r="I16" s="59" t="inlineStr">
        <is>
          <t>研修</t>
        </is>
      </c>
      <c r="J16" s="1" t="inlineStr">
        <is>
          <t>研修</t>
        </is>
      </c>
      <c r="K16" s="14" t="inlineStr">
        <is>
          <t>Revit操作資料テンプレート作成</t>
        </is>
      </c>
      <c r="L16" s="75" t="n">
        <v>6</v>
      </c>
      <c r="M16" s="12" t="inlineStr">
        <is>
          <t>なし</t>
        </is>
      </c>
      <c r="N16" s="76" t="inlineStr">
        <is>
          <t>-</t>
        </is>
      </c>
      <c r="O16" s="12" t="inlineStr">
        <is>
          <t>なし</t>
        </is>
      </c>
      <c r="P16" s="12" t="inlineStr">
        <is>
          <t>-</t>
        </is>
      </c>
      <c r="Q16" s="12" t="inlineStr">
        <is>
          <t>-</t>
        </is>
      </c>
      <c r="R16" s="77" t="inlineStr">
        <is>
          <t>-</t>
        </is>
      </c>
      <c r="S16" s="1" t="inlineStr">
        <is>
          <t>-</t>
        </is>
      </c>
    </row>
    <row r="17" hidden="1" s="79">
      <c r="A17" s="74" t="n">
        <v>46133</v>
      </c>
      <c r="B17" s="12" t="inlineStr">
        <is>
          <t>千原</t>
        </is>
      </c>
      <c r="C17" s="20" t="inlineStr">
        <is>
          <t>-</t>
        </is>
      </c>
      <c r="D17" s="20" t="inlineStr">
        <is>
          <t>-</t>
        </is>
      </c>
      <c r="E17" s="20" t="inlineStr">
        <is>
          <t>-</t>
        </is>
      </c>
      <c r="F17" s="12" t="inlineStr">
        <is>
          <t>-</t>
        </is>
      </c>
      <c r="G17" s="12" t="inlineStr">
        <is>
          <t>-</t>
        </is>
      </c>
      <c r="H17" s="12" t="inlineStr">
        <is>
          <t>助手</t>
        </is>
      </c>
      <c r="I17" s="59" t="inlineStr">
        <is>
          <t>EA45</t>
        </is>
      </c>
      <c r="J17" s="1" t="inlineStr">
        <is>
          <t>北陸</t>
        </is>
      </c>
      <c r="K17" s="14" t="inlineStr">
        <is>
          <t>日本ピーエス掲載資料作成（完了）</t>
        </is>
      </c>
      <c r="L17" s="75" t="n">
        <v>2</v>
      </c>
      <c r="M17" s="12" t="inlineStr">
        <is>
          <t>なし</t>
        </is>
      </c>
      <c r="N17" s="76" t="inlineStr">
        <is>
          <t>-</t>
        </is>
      </c>
      <c r="O17" s="12" t="inlineStr">
        <is>
          <t>なし</t>
        </is>
      </c>
      <c r="P17" s="12" t="inlineStr">
        <is>
          <t>-</t>
        </is>
      </c>
      <c r="Q17" s="12" t="inlineStr">
        <is>
          <t>-</t>
        </is>
      </c>
      <c r="R17" s="77" t="inlineStr">
        <is>
          <t>-</t>
        </is>
      </c>
      <c r="S17" s="1" t="inlineStr">
        <is>
          <t>-</t>
        </is>
      </c>
    </row>
    <row r="18" hidden="1" s="79">
      <c r="A18" s="74" t="n">
        <v>46133</v>
      </c>
      <c r="B18" s="12" t="inlineStr">
        <is>
          <t>人見</t>
        </is>
      </c>
      <c r="C18" s="20" t="n">
        <v>0.3541666666666667</v>
      </c>
      <c r="D18" s="20" t="n">
        <v>0.7291666666666666</v>
      </c>
      <c r="E18" s="20" t="n">
        <v>0</v>
      </c>
      <c r="F18" s="12" t="inlineStr">
        <is>
          <t>本社</t>
        </is>
      </c>
      <c r="G18" s="12" t="inlineStr">
        <is>
          <t>本社</t>
        </is>
      </c>
      <c r="H18" s="12" t="inlineStr">
        <is>
          <t>助手</t>
        </is>
      </c>
      <c r="I18" s="12" t="inlineStr">
        <is>
          <t>PR04</t>
        </is>
      </c>
      <c r="J18" s="12" t="inlineStr">
        <is>
          <t>展示会</t>
        </is>
      </c>
      <c r="K18" s="14" t="inlineStr">
        <is>
          <t>第一回空間情報デジタルツインカンファレンス参加</t>
        </is>
      </c>
      <c r="L18" s="75" t="n">
        <v>5</v>
      </c>
      <c r="M18" s="12" t="inlineStr">
        <is>
          <t>なし</t>
        </is>
      </c>
      <c r="N18" s="76" t="inlineStr">
        <is>
          <t>-</t>
        </is>
      </c>
      <c r="O18" s="12" t="inlineStr">
        <is>
          <t>ステップワゴン</t>
        </is>
      </c>
      <c r="P18" s="12" t="inlineStr">
        <is>
          <t>寮</t>
        </is>
      </c>
      <c r="Q18" s="12" t="inlineStr">
        <is>
          <t>会場</t>
        </is>
      </c>
      <c r="R18" s="77" t="n">
        <v>47.2</v>
      </c>
      <c r="S18" s="1" t="inlineStr">
        <is>
          <t>高速</t>
        </is>
      </c>
      <c r="T18" s="1" t="inlineStr">
        <is>
          <t>会場：NLC新大阪８号館、〒532-0011 大阪府大阪市淀川区西中島３丁目９−１３</t>
        </is>
      </c>
    </row>
    <row r="19" hidden="1" s="79">
      <c r="A19" s="74" t="n">
        <v>46133</v>
      </c>
      <c r="B19" s="12" t="inlineStr">
        <is>
          <t>人見</t>
        </is>
      </c>
      <c r="C19" s="20" t="inlineStr">
        <is>
          <t>-</t>
        </is>
      </c>
      <c r="D19" s="20" t="inlineStr">
        <is>
          <t>-</t>
        </is>
      </c>
      <c r="E19" s="20" t="inlineStr">
        <is>
          <t>-</t>
        </is>
      </c>
      <c r="F19" s="12" t="inlineStr">
        <is>
          <t>-</t>
        </is>
      </c>
      <c r="G19" s="12" t="inlineStr">
        <is>
          <t>-</t>
        </is>
      </c>
      <c r="H19" s="12" t="inlineStr">
        <is>
          <t>助手</t>
        </is>
      </c>
      <c r="I19" s="38" t="inlineStr">
        <is>
          <t>開発</t>
        </is>
      </c>
      <c r="J19" s="39" t="inlineStr">
        <is>
          <t>開発関係</t>
        </is>
      </c>
      <c r="K19" s="14" t="inlineStr">
        <is>
          <t>VPNの学習</t>
        </is>
      </c>
      <c r="L19" s="75" t="n">
        <v>3</v>
      </c>
      <c r="M19" s="12" t="inlineStr">
        <is>
          <t>なし</t>
        </is>
      </c>
      <c r="N19" s="76" t="inlineStr">
        <is>
          <t>-</t>
        </is>
      </c>
      <c r="O19" s="12" t="inlineStr">
        <is>
          <t>なし</t>
        </is>
      </c>
      <c r="P19" s="12" t="inlineStr">
        <is>
          <t>-</t>
        </is>
      </c>
      <c r="Q19" s="12" t="inlineStr">
        <is>
          <t>-</t>
        </is>
      </c>
      <c r="R19" s="77" t="inlineStr">
        <is>
          <t>-</t>
        </is>
      </c>
      <c r="S19" s="1" t="inlineStr">
        <is>
          <t>-</t>
        </is>
      </c>
    </row>
    <row r="20">
      <c r="A20" s="74" t="n">
        <v>46134</v>
      </c>
      <c r="B20" s="12" t="inlineStr">
        <is>
          <t>南</t>
        </is>
      </c>
      <c r="C20" s="20" t="n">
        <v>0.3541666666666667</v>
      </c>
      <c r="D20" s="20" t="n">
        <v>0.7291666666666666</v>
      </c>
      <c r="E20" s="20" t="n">
        <v>0</v>
      </c>
      <c r="F20" s="12" t="inlineStr">
        <is>
          <t>本社</t>
        </is>
      </c>
      <c r="G20" s="12" t="inlineStr">
        <is>
          <t>本社</t>
        </is>
      </c>
      <c r="H20" s="12" t="inlineStr">
        <is>
          <t>助手</t>
        </is>
      </c>
      <c r="I20" s="12" t="inlineStr">
        <is>
          <t>研修</t>
        </is>
      </c>
      <c r="J20" s="12" t="inlineStr">
        <is>
          <t>研修</t>
        </is>
      </c>
      <c r="K20" s="38" t="inlineStr">
        <is>
          <t>社内３DCAD講習 (CPDS認定講習)</t>
        </is>
      </c>
      <c r="L20" s="75" t="n">
        <v>8</v>
      </c>
      <c r="M20" s="12" t="inlineStr">
        <is>
          <t>AUTODESK</t>
        </is>
      </c>
      <c r="N20" s="76" t="n">
        <v>1750</v>
      </c>
      <c r="O20" s="12" t="inlineStr">
        <is>
          <t>なし</t>
        </is>
      </c>
      <c r="P20" s="12" t="inlineStr">
        <is>
          <t>-</t>
        </is>
      </c>
      <c r="Q20" s="12" t="inlineStr">
        <is>
          <t>-</t>
        </is>
      </c>
      <c r="R20" s="77" t="inlineStr">
        <is>
          <t>-</t>
        </is>
      </c>
      <c r="S20" s="1" t="inlineStr">
        <is>
          <t>-</t>
        </is>
      </c>
    </row>
    <row r="21">
      <c r="A21" s="74" t="n">
        <v>46134</v>
      </c>
      <c r="B21" s="12" t="inlineStr">
        <is>
          <t>内藤</t>
        </is>
      </c>
      <c r="C21" s="20" t="n">
        <v>0.3541666666666667</v>
      </c>
      <c r="D21" s="20" t="n">
        <v>0.7291666666666666</v>
      </c>
      <c r="E21" s="20" t="n">
        <v>0</v>
      </c>
      <c r="F21" s="12" t="inlineStr">
        <is>
          <t>本社</t>
        </is>
      </c>
      <c r="G21" s="12" t="inlineStr">
        <is>
          <t>本社</t>
        </is>
      </c>
      <c r="H21" s="12" t="inlineStr">
        <is>
          <t>助手</t>
        </is>
      </c>
      <c r="I21" s="1" t="inlineStr">
        <is>
          <t>VT01</t>
        </is>
      </c>
      <c r="J21" s="1" t="inlineStr">
        <is>
          <t>駐在所</t>
        </is>
      </c>
      <c r="K21" s="14" t="inlineStr">
        <is>
          <t>ベトナムオンライン</t>
        </is>
      </c>
      <c r="L21" s="75" t="n">
        <v>0.5</v>
      </c>
      <c r="M21" s="12" t="inlineStr">
        <is>
          <t>なし</t>
        </is>
      </c>
      <c r="N21" s="76" t="inlineStr">
        <is>
          <t>-</t>
        </is>
      </c>
      <c r="O21" s="12" t="inlineStr">
        <is>
          <t>なし</t>
        </is>
      </c>
      <c r="P21" s="12" t="inlineStr">
        <is>
          <t>-</t>
        </is>
      </c>
      <c r="Q21" s="12" t="inlineStr">
        <is>
          <t>-</t>
        </is>
      </c>
      <c r="R21" s="77" t="inlineStr">
        <is>
          <t>-</t>
        </is>
      </c>
      <c r="S21" s="1" t="inlineStr">
        <is>
          <t>-</t>
        </is>
      </c>
    </row>
    <row r="22">
      <c r="A22" s="74" t="n">
        <v>46134</v>
      </c>
      <c r="B22" s="12" t="inlineStr">
        <is>
          <t>内藤</t>
        </is>
      </c>
      <c r="C22" s="20" t="inlineStr">
        <is>
          <t>-</t>
        </is>
      </c>
      <c r="D22" s="20" t="inlineStr">
        <is>
          <t>-</t>
        </is>
      </c>
      <c r="E22" s="20" t="inlineStr">
        <is>
          <t>-</t>
        </is>
      </c>
      <c r="F22" s="12" t="inlineStr">
        <is>
          <t>-</t>
        </is>
      </c>
      <c r="G22" s="12" t="inlineStr">
        <is>
          <t>-</t>
        </is>
      </c>
      <c r="H22" s="12" t="inlineStr">
        <is>
          <t>助手</t>
        </is>
      </c>
      <c r="I22" s="59" t="inlineStr">
        <is>
          <t>EA105</t>
        </is>
      </c>
      <c r="J22" s="1" t="inlineStr">
        <is>
          <t>鳥居水門</t>
        </is>
      </c>
      <c r="K22" s="14" t="inlineStr">
        <is>
          <t>BIM/CIMフォルダ(港湾編)の作成および付属資料の作成</t>
        </is>
      </c>
      <c r="L22" s="75" t="n">
        <v>6</v>
      </c>
      <c r="M22" s="12" t="inlineStr">
        <is>
          <t>AUTODESK</t>
        </is>
      </c>
      <c r="N22" s="76" t="n">
        <v>1750</v>
      </c>
      <c r="O22" s="12" t="inlineStr">
        <is>
          <t>なし</t>
        </is>
      </c>
      <c r="P22" s="12" t="inlineStr">
        <is>
          <t>-</t>
        </is>
      </c>
      <c r="Q22" s="12" t="inlineStr">
        <is>
          <t>-</t>
        </is>
      </c>
      <c r="R22" s="77" t="inlineStr">
        <is>
          <t>-</t>
        </is>
      </c>
      <c r="S22" s="1" t="inlineStr">
        <is>
          <t>-</t>
        </is>
      </c>
    </row>
    <row r="23" hidden="1" s="79">
      <c r="A23" s="74" t="n">
        <v>46133</v>
      </c>
      <c r="B23" s="12" t="inlineStr">
        <is>
          <t>内藤</t>
        </is>
      </c>
      <c r="C23" s="20" t="n">
        <v>0.3541666666666667</v>
      </c>
      <c r="D23" s="20" t="n">
        <v>0.7291666666666666</v>
      </c>
      <c r="E23" s="20" t="n">
        <v>0</v>
      </c>
      <c r="F23" s="12" t="inlineStr">
        <is>
          <t>本社</t>
        </is>
      </c>
      <c r="G23" s="12" t="inlineStr">
        <is>
          <t>本社</t>
        </is>
      </c>
      <c r="H23" s="12" t="inlineStr">
        <is>
          <t>助手</t>
        </is>
      </c>
      <c r="I23" s="60" t="inlineStr">
        <is>
          <t>EA156</t>
        </is>
      </c>
      <c r="J23" s="61" t="inlineStr">
        <is>
          <t>R7寺田拡幅</t>
        </is>
      </c>
      <c r="K23" s="38" t="inlineStr">
        <is>
          <t>現地　ガウシアン計測1回目</t>
        </is>
      </c>
      <c r="L23" s="75" t="n">
        <v>8</v>
      </c>
      <c r="M23" s="12" t="inlineStr">
        <is>
          <t>なし</t>
        </is>
      </c>
      <c r="N23" s="76" t="inlineStr">
        <is>
          <t>-</t>
        </is>
      </c>
      <c r="O23" s="12" t="inlineStr">
        <is>
          <t>ハイエース</t>
        </is>
      </c>
      <c r="P23" s="12" t="inlineStr">
        <is>
          <t>本社</t>
        </is>
      </c>
      <c r="Q23" s="12" t="inlineStr">
        <is>
          <t>現場</t>
        </is>
      </c>
      <c r="R23" s="77" t="n">
        <v>20</v>
      </c>
      <c r="S23" s="1" t="inlineStr">
        <is>
          <t>下道</t>
        </is>
      </c>
    </row>
    <row r="24">
      <c r="A24" s="74" t="n">
        <v>46134</v>
      </c>
      <c r="B24" s="12" t="inlineStr">
        <is>
          <t>内藤</t>
        </is>
      </c>
      <c r="C24" s="20" t="inlineStr">
        <is>
          <t>-</t>
        </is>
      </c>
      <c r="D24" s="20" t="inlineStr">
        <is>
          <t>-</t>
        </is>
      </c>
      <c r="E24" s="20" t="inlineStr">
        <is>
          <t>-</t>
        </is>
      </c>
      <c r="F24" s="12" t="inlineStr">
        <is>
          <t>-</t>
        </is>
      </c>
      <c r="G24" s="12" t="inlineStr">
        <is>
          <t>-</t>
        </is>
      </c>
      <c r="H24" s="12" t="inlineStr">
        <is>
          <t>助手</t>
        </is>
      </c>
      <c r="I24" s="59" t="inlineStr">
        <is>
          <t>EA156</t>
        </is>
      </c>
      <c r="J24" s="1" t="inlineStr">
        <is>
          <t>R7寺田拡幅</t>
        </is>
      </c>
      <c r="K24" s="14" t="inlineStr">
        <is>
          <t>ガウシアン　解析データの確認</t>
        </is>
      </c>
      <c r="L24" s="75" t="n">
        <v>0.5</v>
      </c>
      <c r="M24" s="12" t="inlineStr">
        <is>
          <t>なし</t>
        </is>
      </c>
      <c r="N24" s="76" t="inlineStr">
        <is>
          <t>-</t>
        </is>
      </c>
      <c r="O24" s="12" t="inlineStr">
        <is>
          <t>なし</t>
        </is>
      </c>
      <c r="P24" s="12" t="inlineStr">
        <is>
          <t>-</t>
        </is>
      </c>
      <c r="Q24" s="12" t="inlineStr">
        <is>
          <t>-</t>
        </is>
      </c>
      <c r="R24" s="77" t="inlineStr">
        <is>
          <t>-</t>
        </is>
      </c>
      <c r="S24" s="1" t="inlineStr">
        <is>
          <t>-</t>
        </is>
      </c>
    </row>
    <row r="25">
      <c r="A25" s="74" t="n">
        <v>46134</v>
      </c>
      <c r="B25" s="12" t="inlineStr">
        <is>
          <t>内藤</t>
        </is>
      </c>
      <c r="C25" s="20" t="inlineStr">
        <is>
          <t>-</t>
        </is>
      </c>
      <c r="D25" s="20" t="inlineStr">
        <is>
          <t>-</t>
        </is>
      </c>
      <c r="E25" s="20" t="inlineStr">
        <is>
          <t>-</t>
        </is>
      </c>
      <c r="F25" s="12" t="inlineStr">
        <is>
          <t>-</t>
        </is>
      </c>
      <c r="G25" s="12" t="inlineStr">
        <is>
          <t>-</t>
        </is>
      </c>
      <c r="H25" s="12" t="inlineStr">
        <is>
          <t>助手</t>
        </is>
      </c>
      <c r="I25" s="59" t="inlineStr">
        <is>
          <t>EA157</t>
        </is>
      </c>
      <c r="J25" s="1" t="inlineStr">
        <is>
          <t>蛙ヶ谷基準点</t>
        </is>
      </c>
      <c r="K25" s="14" t="inlineStr">
        <is>
          <t>現地計測の日程調整</t>
        </is>
      </c>
      <c r="L25" s="75" t="n">
        <v>0.5</v>
      </c>
      <c r="M25" s="12" t="inlineStr">
        <is>
          <t>なし</t>
        </is>
      </c>
      <c r="N25" s="76" t="inlineStr">
        <is>
          <t>-</t>
        </is>
      </c>
      <c r="O25" s="12" t="inlineStr">
        <is>
          <t>なし</t>
        </is>
      </c>
      <c r="P25" s="12" t="inlineStr">
        <is>
          <t>-</t>
        </is>
      </c>
      <c r="Q25" s="12" t="inlineStr">
        <is>
          <t>-</t>
        </is>
      </c>
      <c r="R25" s="77" t="inlineStr">
        <is>
          <t>-</t>
        </is>
      </c>
      <c r="S25" s="1" t="inlineStr">
        <is>
          <t>-</t>
        </is>
      </c>
    </row>
    <row r="26">
      <c r="A26" s="74" t="n">
        <v>46134</v>
      </c>
      <c r="B26" s="12" t="inlineStr">
        <is>
          <t>内藤</t>
        </is>
      </c>
      <c r="C26" s="20" t="inlineStr">
        <is>
          <t>-</t>
        </is>
      </c>
      <c r="D26" s="20" t="inlineStr">
        <is>
          <t>-</t>
        </is>
      </c>
      <c r="E26" s="20" t="inlineStr">
        <is>
          <t>-</t>
        </is>
      </c>
      <c r="F26" s="12" t="inlineStr">
        <is>
          <t>-</t>
        </is>
      </c>
      <c r="G26" s="12" t="inlineStr">
        <is>
          <t>-</t>
        </is>
      </c>
      <c r="H26" s="12" t="inlineStr">
        <is>
          <t>助手</t>
        </is>
      </c>
      <c r="I26" s="59" t="inlineStr">
        <is>
          <t>EA158</t>
        </is>
      </c>
      <c r="J26" s="1" t="inlineStr">
        <is>
          <t>大熊町橋梁点検</t>
        </is>
      </c>
      <c r="K26" s="14" t="inlineStr">
        <is>
          <t>SARUTAHIKO 資料の修正</t>
        </is>
      </c>
      <c r="L26" s="75" t="n">
        <v>0.5</v>
      </c>
      <c r="M26" s="12" t="inlineStr">
        <is>
          <t>なし</t>
        </is>
      </c>
      <c r="N26" s="76" t="inlineStr">
        <is>
          <t>-</t>
        </is>
      </c>
      <c r="O26" s="12" t="inlineStr">
        <is>
          <t>なし</t>
        </is>
      </c>
      <c r="P26" s="12" t="inlineStr">
        <is>
          <t>-</t>
        </is>
      </c>
      <c r="Q26" s="12" t="inlineStr">
        <is>
          <t>-</t>
        </is>
      </c>
      <c r="R26" s="77" t="inlineStr">
        <is>
          <t>-</t>
        </is>
      </c>
      <c r="S26" s="1" t="inlineStr">
        <is>
          <t>-</t>
        </is>
      </c>
    </row>
    <row r="27">
      <c r="A27" s="74" t="n">
        <v>46134</v>
      </c>
      <c r="B27" s="12" t="inlineStr">
        <is>
          <t>天野</t>
        </is>
      </c>
      <c r="C27" s="20" t="n">
        <v>0.3541666666666667</v>
      </c>
      <c r="D27" s="20" t="n">
        <v>0.7291666666666666</v>
      </c>
      <c r="E27" s="20" t="n">
        <v>0</v>
      </c>
      <c r="F27" s="12" t="inlineStr">
        <is>
          <t>本社</t>
        </is>
      </c>
      <c r="G27" s="12" t="inlineStr">
        <is>
          <t>本社</t>
        </is>
      </c>
      <c r="H27" s="12" t="inlineStr">
        <is>
          <t>助手</t>
        </is>
      </c>
      <c r="I27" s="59" t="inlineStr">
        <is>
          <t>EA134</t>
        </is>
      </c>
      <c r="J27" s="1" t="inlineStr">
        <is>
          <t>教材作成</t>
        </is>
      </c>
      <c r="K27" s="14" t="inlineStr">
        <is>
          <t>Revit資料の添削</t>
        </is>
      </c>
      <c r="L27" s="75" t="n">
        <v>8</v>
      </c>
      <c r="M27" s="12" t="inlineStr">
        <is>
          <t>AUTODESK</t>
        </is>
      </c>
      <c r="N27" s="76" t="n">
        <v>1750</v>
      </c>
      <c r="O27" s="12" t="inlineStr">
        <is>
          <t>なし</t>
        </is>
      </c>
      <c r="P27" s="12" t="inlineStr">
        <is>
          <t>-</t>
        </is>
      </c>
      <c r="Q27" s="12" t="inlineStr">
        <is>
          <t>-</t>
        </is>
      </c>
      <c r="R27" s="77" t="inlineStr">
        <is>
          <t>-</t>
        </is>
      </c>
      <c r="S27" s="1" t="inlineStr">
        <is>
          <t>-</t>
        </is>
      </c>
    </row>
    <row r="28">
      <c r="A28" s="74" t="n">
        <v>46134</v>
      </c>
      <c r="B28" s="12" t="inlineStr">
        <is>
          <t>仲</t>
        </is>
      </c>
      <c r="C28" s="20" t="n">
        <v>0.3541666666666667</v>
      </c>
      <c r="D28" s="20" t="n">
        <v>0.7708333333333334</v>
      </c>
      <c r="E28" s="20" t="n">
        <v>0.04166666666666666</v>
      </c>
      <c r="F28" s="12" t="inlineStr">
        <is>
          <t>本社</t>
        </is>
      </c>
      <c r="G28" s="12" t="inlineStr">
        <is>
          <t>本社</t>
        </is>
      </c>
      <c r="H28" s="12" t="inlineStr">
        <is>
          <t>助手</t>
        </is>
      </c>
      <c r="I28" s="38" t="inlineStr">
        <is>
          <t>EA94</t>
        </is>
      </c>
      <c r="J28" s="39" t="inlineStr">
        <is>
          <t>なにわ筋</t>
        </is>
      </c>
      <c r="K28" s="14" t="inlineStr">
        <is>
          <t>錢高組様と打ち合わせ</t>
        </is>
      </c>
      <c r="L28" s="75" t="n">
        <v>5</v>
      </c>
      <c r="M28" s="12" t="inlineStr">
        <is>
          <t>なし</t>
        </is>
      </c>
      <c r="N28" s="76" t="inlineStr">
        <is>
          <t>-</t>
        </is>
      </c>
      <c r="O28" s="12" t="inlineStr">
        <is>
          <t>ステップワゴン</t>
        </is>
      </c>
      <c r="P28" s="12" t="inlineStr">
        <is>
          <t>本社</t>
        </is>
      </c>
      <c r="Q28" s="12" t="inlineStr">
        <is>
          <t>なにわ筋</t>
        </is>
      </c>
      <c r="R28" s="77" t="n">
        <v>53</v>
      </c>
      <c r="S28" s="1" t="inlineStr">
        <is>
          <t>高速</t>
        </is>
      </c>
    </row>
    <row r="29">
      <c r="A29" s="74" t="n">
        <v>46134</v>
      </c>
      <c r="B29" s="12" t="inlineStr">
        <is>
          <t>仲</t>
        </is>
      </c>
      <c r="C29" s="20" t="inlineStr">
        <is>
          <t>-</t>
        </is>
      </c>
      <c r="D29" s="20" t="inlineStr">
        <is>
          <t>-</t>
        </is>
      </c>
      <c r="E29" s="20" t="inlineStr">
        <is>
          <t>-</t>
        </is>
      </c>
      <c r="F29" s="12" t="inlineStr">
        <is>
          <t>-</t>
        </is>
      </c>
      <c r="G29" s="12" t="inlineStr">
        <is>
          <t>-</t>
        </is>
      </c>
      <c r="H29" s="12" t="inlineStr">
        <is>
          <t>助手</t>
        </is>
      </c>
      <c r="I29" s="59" t="inlineStr">
        <is>
          <t>EA94</t>
        </is>
      </c>
      <c r="J29" s="1" t="inlineStr">
        <is>
          <t>なにわ筋</t>
        </is>
      </c>
      <c r="K29" s="14" t="inlineStr">
        <is>
          <t>KOLC+ラベル表示修正</t>
        </is>
      </c>
      <c r="L29" s="75" t="n">
        <v>2</v>
      </c>
      <c r="M29" s="12" t="inlineStr">
        <is>
          <t>なし</t>
        </is>
      </c>
      <c r="N29" s="76" t="inlineStr">
        <is>
          <t>-</t>
        </is>
      </c>
      <c r="O29" s="12" t="inlineStr">
        <is>
          <t>なし</t>
        </is>
      </c>
      <c r="P29" s="12" t="inlineStr">
        <is>
          <t>-</t>
        </is>
      </c>
      <c r="Q29" s="12" t="inlineStr">
        <is>
          <t>-</t>
        </is>
      </c>
      <c r="R29" s="77" t="inlineStr">
        <is>
          <t>-</t>
        </is>
      </c>
      <c r="S29" s="1" t="inlineStr">
        <is>
          <t>-</t>
        </is>
      </c>
    </row>
    <row r="30">
      <c r="A30" s="74" t="n">
        <v>46134</v>
      </c>
      <c r="B30" s="12" t="inlineStr">
        <is>
          <t>仲</t>
        </is>
      </c>
      <c r="C30" s="20" t="inlineStr">
        <is>
          <t>-</t>
        </is>
      </c>
      <c r="D30" s="20" t="inlineStr">
        <is>
          <t>-</t>
        </is>
      </c>
      <c r="E30" s="20" t="inlineStr">
        <is>
          <t>-</t>
        </is>
      </c>
      <c r="F30" s="12" t="inlineStr">
        <is>
          <t>-</t>
        </is>
      </c>
      <c r="G30" s="12" t="inlineStr">
        <is>
          <t>-</t>
        </is>
      </c>
      <c r="H30" s="12" t="inlineStr">
        <is>
          <t>助手</t>
        </is>
      </c>
      <c r="I30" s="59" t="inlineStr">
        <is>
          <t>EA156</t>
        </is>
      </c>
      <c r="J30" s="1" t="inlineStr">
        <is>
          <t>R7寺田拡幅</t>
        </is>
      </c>
      <c r="K30" s="14" t="inlineStr">
        <is>
          <t>計測ガウシアン解析</t>
        </is>
      </c>
      <c r="L30" s="75" t="n">
        <v>2</v>
      </c>
      <c r="M30" s="12" t="inlineStr">
        <is>
          <t>Trend-Point</t>
        </is>
      </c>
      <c r="N30" s="76" t="n">
        <v>600</v>
      </c>
      <c r="O30" s="12" t="inlineStr">
        <is>
          <t>なし</t>
        </is>
      </c>
      <c r="P30" s="12" t="inlineStr">
        <is>
          <t>-</t>
        </is>
      </c>
      <c r="Q30" s="12" t="inlineStr">
        <is>
          <t>-</t>
        </is>
      </c>
      <c r="R30" s="77" t="inlineStr">
        <is>
          <t>-</t>
        </is>
      </c>
      <c r="S30" s="1" t="inlineStr">
        <is>
          <t>-</t>
        </is>
      </c>
    </row>
    <row r="31">
      <c r="A31" s="74" t="n">
        <v>46134</v>
      </c>
      <c r="B31" s="12" t="inlineStr">
        <is>
          <t>竹本</t>
        </is>
      </c>
      <c r="C31" s="20" t="n">
        <v>0.5416666666666666</v>
      </c>
      <c r="D31" s="20" t="n">
        <v>0.7083333333333334</v>
      </c>
      <c r="E31" s="20" t="inlineStr">
        <is>
          <t>-05:00</t>
        </is>
      </c>
      <c r="F31" s="12" t="inlineStr">
        <is>
          <t>綾部</t>
        </is>
      </c>
      <c r="G31" s="12" t="inlineStr">
        <is>
          <t>綾部</t>
        </is>
      </c>
      <c r="H31" s="12" t="inlineStr">
        <is>
          <t>技師</t>
        </is>
      </c>
      <c r="I31" s="59" t="inlineStr">
        <is>
          <t>EA156</t>
        </is>
      </c>
      <c r="J31" s="1" t="inlineStr">
        <is>
          <t>R7寺田拡幅</t>
        </is>
      </c>
      <c r="K31" s="14" t="inlineStr">
        <is>
          <t>測量計画書作成「基準点・水準」</t>
        </is>
      </c>
      <c r="L31" s="75" t="n">
        <v>4</v>
      </c>
      <c r="M31" s="12" t="inlineStr">
        <is>
          <t>武蔵</t>
        </is>
      </c>
      <c r="N31" s="76" t="n">
        <v>480</v>
      </c>
      <c r="O31" s="12" t="inlineStr">
        <is>
          <t>なし</t>
        </is>
      </c>
      <c r="P31" s="12" t="inlineStr">
        <is>
          <t>-</t>
        </is>
      </c>
      <c r="Q31" s="12" t="inlineStr">
        <is>
          <t>-</t>
        </is>
      </c>
      <c r="R31" s="77" t="inlineStr">
        <is>
          <t>-</t>
        </is>
      </c>
      <c r="S31" s="1" t="inlineStr">
        <is>
          <t>-</t>
        </is>
      </c>
    </row>
    <row r="32">
      <c r="A32" s="74" t="n">
        <v>46134</v>
      </c>
      <c r="B32" s="12" t="inlineStr">
        <is>
          <t>村上</t>
        </is>
      </c>
      <c r="C32" s="20" t="n">
        <v>0.3541666666666667</v>
      </c>
      <c r="D32" s="20" t="n">
        <v>0.7291666666666666</v>
      </c>
      <c r="E32" s="20" t="n">
        <v>0</v>
      </c>
      <c r="F32" s="12" t="inlineStr">
        <is>
          <t>本社</t>
        </is>
      </c>
      <c r="G32" s="12" t="inlineStr">
        <is>
          <t>本社</t>
        </is>
      </c>
      <c r="H32" s="12" t="inlineStr">
        <is>
          <t>助手</t>
        </is>
      </c>
      <c r="I32" s="1" t="inlineStr">
        <is>
          <t>事務</t>
        </is>
      </c>
      <c r="J32" s="1" t="inlineStr">
        <is>
          <t>事務</t>
        </is>
      </c>
      <c r="K32" s="14" t="inlineStr">
        <is>
          <t>20日締め出面作成、CPDS提出写真撮影、扶養非該当手続き、メール対応他</t>
        </is>
      </c>
      <c r="L32" s="75" t="n">
        <v>7</v>
      </c>
      <c r="M32" s="12" t="inlineStr">
        <is>
          <t>なし</t>
        </is>
      </c>
      <c r="N32" s="76" t="inlineStr">
        <is>
          <t>-</t>
        </is>
      </c>
      <c r="O32" s="12" t="inlineStr">
        <is>
          <t>なし</t>
        </is>
      </c>
      <c r="P32" s="12" t="inlineStr">
        <is>
          <t>-</t>
        </is>
      </c>
      <c r="Q32" s="12" t="inlineStr">
        <is>
          <t>-</t>
        </is>
      </c>
      <c r="R32" s="77" t="inlineStr">
        <is>
          <t>-</t>
        </is>
      </c>
      <c r="S32" s="1" t="inlineStr">
        <is>
          <t>-</t>
        </is>
      </c>
    </row>
    <row r="33">
      <c r="A33" s="74" t="n">
        <v>46134</v>
      </c>
      <c r="B33" s="12" t="inlineStr">
        <is>
          <t>村上</t>
        </is>
      </c>
      <c r="C33" s="20" t="inlineStr">
        <is>
          <t>-</t>
        </is>
      </c>
      <c r="D33" s="20" t="inlineStr">
        <is>
          <t>-</t>
        </is>
      </c>
      <c r="E33" s="20" t="inlineStr">
        <is>
          <t>-</t>
        </is>
      </c>
      <c r="F33" s="12" t="inlineStr">
        <is>
          <t>-</t>
        </is>
      </c>
      <c r="G33" s="12" t="inlineStr">
        <is>
          <t>-</t>
        </is>
      </c>
      <c r="H33" s="12" t="inlineStr">
        <is>
          <t>助手</t>
        </is>
      </c>
      <c r="I33" s="59" t="inlineStr">
        <is>
          <t>営業</t>
        </is>
      </c>
      <c r="J33" s="1" t="inlineStr">
        <is>
          <t>営業</t>
        </is>
      </c>
      <c r="K33" s="14" t="inlineStr">
        <is>
          <t>京都産業21来社</t>
        </is>
      </c>
      <c r="L33" s="75" t="n">
        <v>1</v>
      </c>
      <c r="M33" s="12" t="inlineStr">
        <is>
          <t>なし</t>
        </is>
      </c>
      <c r="N33" s="76" t="inlineStr">
        <is>
          <t>-</t>
        </is>
      </c>
      <c r="O33" s="12" t="inlineStr">
        <is>
          <t>なし</t>
        </is>
      </c>
      <c r="P33" s="12" t="inlineStr">
        <is>
          <t>-</t>
        </is>
      </c>
      <c r="Q33" s="12" t="inlineStr">
        <is>
          <t>-</t>
        </is>
      </c>
      <c r="R33" s="77" t="inlineStr">
        <is>
          <t>-</t>
        </is>
      </c>
      <c r="S33" s="1" t="inlineStr">
        <is>
          <t>-</t>
        </is>
      </c>
    </row>
    <row r="34">
      <c r="A34" s="74" t="n">
        <v>46134</v>
      </c>
      <c r="B34" s="12" t="inlineStr">
        <is>
          <t>千原</t>
        </is>
      </c>
      <c r="C34" s="20" t="n">
        <v>0.3541666666666667</v>
      </c>
      <c r="D34" s="20" t="n">
        <v>0.7291666666666666</v>
      </c>
      <c r="E34" s="20" t="n">
        <v>0</v>
      </c>
      <c r="F34" s="12" t="inlineStr">
        <is>
          <t>リモート</t>
        </is>
      </c>
      <c r="G34" s="12" t="inlineStr">
        <is>
          <t>リモート</t>
        </is>
      </c>
      <c r="H34" s="12" t="inlineStr">
        <is>
          <t>助手</t>
        </is>
      </c>
      <c r="I34" s="14" t="inlineStr">
        <is>
          <t>研修</t>
        </is>
      </c>
      <c r="J34" s="12" t="inlineStr">
        <is>
          <t>研修</t>
        </is>
      </c>
      <c r="K34" s="14" t="inlineStr">
        <is>
          <t>Autodesk操作資料テンプレート作成・編集説明書作成</t>
        </is>
      </c>
      <c r="L34" s="75" t="n">
        <v>8</v>
      </c>
      <c r="M34" s="12" t="inlineStr">
        <is>
          <t>なし</t>
        </is>
      </c>
      <c r="N34" s="76" t="inlineStr">
        <is>
          <t>-</t>
        </is>
      </c>
      <c r="O34" s="12" t="inlineStr">
        <is>
          <t>なし</t>
        </is>
      </c>
      <c r="P34" s="12" t="inlineStr">
        <is>
          <t>-</t>
        </is>
      </c>
      <c r="Q34" s="12" t="inlineStr">
        <is>
          <t>-</t>
        </is>
      </c>
      <c r="R34" s="77" t="inlineStr">
        <is>
          <t>-</t>
        </is>
      </c>
      <c r="S34" s="1" t="inlineStr">
        <is>
          <t>-</t>
        </is>
      </c>
    </row>
    <row r="35">
      <c r="A35" s="74" t="n">
        <v>46134</v>
      </c>
      <c r="B35" s="12" t="inlineStr">
        <is>
          <t>人見</t>
        </is>
      </c>
      <c r="C35" s="20" t="n">
        <v>0.3541666666666667</v>
      </c>
      <c r="D35" s="20" t="n">
        <v>0.7291666666666666</v>
      </c>
      <c r="E35" s="20" t="n">
        <v>0</v>
      </c>
      <c r="F35" s="12" t="inlineStr">
        <is>
          <t>本社</t>
        </is>
      </c>
      <c r="G35" s="12" t="inlineStr">
        <is>
          <t>本社</t>
        </is>
      </c>
      <c r="H35" s="12" t="inlineStr">
        <is>
          <t>助手</t>
        </is>
      </c>
      <c r="I35" s="1" t="inlineStr">
        <is>
          <t>開発</t>
        </is>
      </c>
      <c r="J35" s="1" t="inlineStr">
        <is>
          <t>開発関係</t>
        </is>
      </c>
      <c r="K35" s="14" t="inlineStr">
        <is>
          <t>MK32の接続テスト</t>
        </is>
      </c>
      <c r="L35" s="75" t="n">
        <v>2</v>
      </c>
      <c r="M35" s="12" t="inlineStr">
        <is>
          <t>なし</t>
        </is>
      </c>
      <c r="N35" s="76" t="inlineStr">
        <is>
          <t>-</t>
        </is>
      </c>
      <c r="O35" s="12" t="inlineStr">
        <is>
          <t>なし</t>
        </is>
      </c>
      <c r="P35" s="12" t="inlineStr">
        <is>
          <t>-</t>
        </is>
      </c>
      <c r="Q35" s="12" t="inlineStr">
        <is>
          <t>-</t>
        </is>
      </c>
      <c r="R35" s="77" t="inlineStr">
        <is>
          <t>-</t>
        </is>
      </c>
      <c r="S35" s="1" t="inlineStr">
        <is>
          <t>-</t>
        </is>
      </c>
    </row>
    <row r="36">
      <c r="A36" s="74" t="n">
        <v>46134</v>
      </c>
      <c r="B36" s="12" t="inlineStr">
        <is>
          <t>人見</t>
        </is>
      </c>
      <c r="C36" s="20" t="inlineStr">
        <is>
          <t>-</t>
        </is>
      </c>
      <c r="D36" s="20" t="inlineStr">
        <is>
          <t>-</t>
        </is>
      </c>
      <c r="E36" s="20" t="inlineStr">
        <is>
          <t>-</t>
        </is>
      </c>
      <c r="F36" s="12" t="inlineStr">
        <is>
          <t>-</t>
        </is>
      </c>
      <c r="G36" s="12" t="inlineStr">
        <is>
          <t>-</t>
        </is>
      </c>
      <c r="H36" s="12" t="inlineStr">
        <is>
          <t>助手</t>
        </is>
      </c>
      <c r="I36" s="12" t="inlineStr">
        <is>
          <t>開発</t>
        </is>
      </c>
      <c r="J36" s="12" t="inlineStr">
        <is>
          <t>開発関係</t>
        </is>
      </c>
      <c r="K36" s="14" t="inlineStr">
        <is>
          <t>VPNの学習</t>
        </is>
      </c>
      <c r="L36" s="75" t="n">
        <v>6</v>
      </c>
      <c r="M36" s="12" t="inlineStr">
        <is>
          <t>なし</t>
        </is>
      </c>
      <c r="N36" s="76" t="inlineStr">
        <is>
          <t>-</t>
        </is>
      </c>
      <c r="O36" s="12" t="inlineStr">
        <is>
          <t>なし</t>
        </is>
      </c>
      <c r="P36" s="12" t="inlineStr">
        <is>
          <t>-</t>
        </is>
      </c>
      <c r="Q36" s="12" t="inlineStr">
        <is>
          <t>-</t>
        </is>
      </c>
      <c r="R36" s="77" t="inlineStr">
        <is>
          <t>-</t>
        </is>
      </c>
      <c r="S36" s="1" t="inlineStr">
        <is>
          <t>-</t>
        </is>
      </c>
    </row>
    <row r="37">
      <c r="A37" s="74" t="n">
        <v>46134</v>
      </c>
      <c r="B37" s="12" t="inlineStr">
        <is>
          <t>金本</t>
        </is>
      </c>
      <c r="C37" s="20" t="n">
        <v>0.3541666666666667</v>
      </c>
      <c r="D37" s="20" t="n">
        <v>0.7291666666666666</v>
      </c>
      <c r="E37" s="20" t="n">
        <v>0</v>
      </c>
      <c r="F37" s="12" t="inlineStr">
        <is>
          <t>本社</t>
        </is>
      </c>
      <c r="G37" s="12" t="inlineStr">
        <is>
          <t>本社</t>
        </is>
      </c>
      <c r="H37" s="12" t="inlineStr">
        <is>
          <t>助手</t>
        </is>
      </c>
      <c r="I37" s="12" t="inlineStr">
        <is>
          <t>研修</t>
        </is>
      </c>
      <c r="J37" s="12" t="inlineStr">
        <is>
          <t>研修</t>
        </is>
      </c>
      <c r="K37" s="38" t="inlineStr">
        <is>
          <t>社内３DCAD講習 (CPDS認定講習)</t>
        </is>
      </c>
      <c r="L37" s="75" t="n">
        <v>8</v>
      </c>
      <c r="M37" s="12" t="inlineStr">
        <is>
          <t>AUTODESK</t>
        </is>
      </c>
      <c r="N37" s="76" t="n">
        <v>1750</v>
      </c>
      <c r="O37" s="12" t="inlineStr">
        <is>
          <t>なし</t>
        </is>
      </c>
      <c r="P37" s="12" t="inlineStr">
        <is>
          <t>-</t>
        </is>
      </c>
      <c r="Q37" s="12" t="inlineStr">
        <is>
          <t>-</t>
        </is>
      </c>
      <c r="R37" s="77" t="inlineStr">
        <is>
          <t>-</t>
        </is>
      </c>
      <c r="S37" s="1" t="inlineStr">
        <is>
          <t>-</t>
        </is>
      </c>
    </row>
    <row r="38" hidden="1" s="79">
      <c r="A38" s="74" t="n">
        <v>46133</v>
      </c>
      <c r="B38" s="12" t="inlineStr">
        <is>
          <t>竹本</t>
        </is>
      </c>
      <c r="C38" s="20" t="n">
        <v>0.3541666666666667</v>
      </c>
      <c r="D38" s="20" t="n">
        <v>0.7291666666666666</v>
      </c>
      <c r="E38" s="20" t="n">
        <v>0</v>
      </c>
      <c r="F38" s="20" t="inlineStr">
        <is>
          <t>現場</t>
        </is>
      </c>
      <c r="G38" s="20" t="inlineStr">
        <is>
          <t>現場</t>
        </is>
      </c>
      <c r="H38" s="12" t="inlineStr">
        <is>
          <t>技師</t>
        </is>
      </c>
      <c r="I38" s="12" t="inlineStr">
        <is>
          <t>EA156</t>
        </is>
      </c>
      <c r="J38" s="12" t="inlineStr">
        <is>
          <t>R7寺田拡幅</t>
        </is>
      </c>
      <c r="K38" s="14" t="inlineStr">
        <is>
          <t>現況調査　ガウシアン　既設基準点確認</t>
        </is>
      </c>
      <c r="L38" s="75" t="n">
        <v>8</v>
      </c>
      <c r="M38" s="12" t="inlineStr">
        <is>
          <t>なし</t>
        </is>
      </c>
      <c r="N38" s="76" t="inlineStr">
        <is>
          <t>-</t>
        </is>
      </c>
      <c r="O38" s="12" t="inlineStr">
        <is>
          <t>なし</t>
        </is>
      </c>
      <c r="P38" s="12" t="inlineStr">
        <is>
          <t>-</t>
        </is>
      </c>
      <c r="Q38" s="12" t="inlineStr">
        <is>
          <t>-</t>
        </is>
      </c>
      <c r="R38" s="77" t="inlineStr">
        <is>
          <t>-</t>
        </is>
      </c>
      <c r="S38" s="1" t="inlineStr">
        <is>
          <t>-</t>
        </is>
      </c>
    </row>
    <row r="39">
      <c r="A39" s="74" t="n">
        <v>46134</v>
      </c>
      <c r="B39" s="12" t="inlineStr">
        <is>
          <t>フック</t>
        </is>
      </c>
      <c r="C39" s="20" t="n">
        <v>0.3541666666666667</v>
      </c>
      <c r="D39" s="20" t="n">
        <v>0.7291666666666666</v>
      </c>
      <c r="E39" s="20" t="n">
        <v>0</v>
      </c>
      <c r="F39" s="12" t="inlineStr">
        <is>
          <t>本社</t>
        </is>
      </c>
      <c r="G39" s="12" t="inlineStr">
        <is>
          <t>本社</t>
        </is>
      </c>
      <c r="H39" s="12" t="inlineStr">
        <is>
          <t>助手</t>
        </is>
      </c>
      <c r="I39" s="12" t="inlineStr">
        <is>
          <t>研修</t>
        </is>
      </c>
      <c r="J39" s="12" t="inlineStr">
        <is>
          <t>研修</t>
        </is>
      </c>
      <c r="K39" s="38" t="inlineStr">
        <is>
          <t>社内３DCAD講習 (CPDS認定講習)</t>
        </is>
      </c>
      <c r="L39" s="75" t="n">
        <v>8</v>
      </c>
      <c r="M39" s="12" t="inlineStr">
        <is>
          <t>AUTODESK</t>
        </is>
      </c>
      <c r="N39" s="76" t="n">
        <v>1750</v>
      </c>
      <c r="O39" s="12" t="inlineStr">
        <is>
          <t>なし</t>
        </is>
      </c>
      <c r="P39" s="12" t="inlineStr">
        <is>
          <t>-</t>
        </is>
      </c>
      <c r="Q39" s="12" t="inlineStr">
        <is>
          <t>-</t>
        </is>
      </c>
      <c r="R39" s="77" t="inlineStr">
        <is>
          <t>-</t>
        </is>
      </c>
      <c r="S39" s="1" t="inlineStr">
        <is>
          <t>-</t>
        </is>
      </c>
    </row>
    <row r="40">
      <c r="A40" s="74" t="n">
        <v>46134</v>
      </c>
      <c r="B40" s="12" t="inlineStr">
        <is>
          <t>バタイ</t>
        </is>
      </c>
      <c r="C40" s="20" t="n">
        <v>0.3125</v>
      </c>
      <c r="D40" s="20" t="n">
        <v>0.7083333333333334</v>
      </c>
      <c r="E40" s="20" t="n">
        <v>0.02083333333333333</v>
      </c>
      <c r="F40" s="12" t="inlineStr">
        <is>
          <t>本社</t>
        </is>
      </c>
      <c r="G40" s="12" t="inlineStr">
        <is>
          <t>本社</t>
        </is>
      </c>
      <c r="H40" s="12" t="inlineStr">
        <is>
          <t>助手</t>
        </is>
      </c>
      <c r="I40" s="59" t="inlineStr">
        <is>
          <t>研修</t>
        </is>
      </c>
      <c r="J40" s="1" t="inlineStr">
        <is>
          <t>研修</t>
        </is>
      </c>
      <c r="K40" s="14" t="inlineStr">
        <is>
          <t>REVIT配筋モデルマニュアル作成</t>
        </is>
      </c>
      <c r="L40" s="75" t="n">
        <v>8</v>
      </c>
      <c r="M40" s="12" t="inlineStr">
        <is>
          <t>なし</t>
        </is>
      </c>
      <c r="N40" s="76" t="inlineStr">
        <is>
          <t>-</t>
        </is>
      </c>
      <c r="O40" s="12" t="inlineStr">
        <is>
          <t>なし</t>
        </is>
      </c>
      <c r="P40" s="12" t="inlineStr">
        <is>
          <t>-</t>
        </is>
      </c>
      <c r="Q40" s="12" t="inlineStr">
        <is>
          <t>-</t>
        </is>
      </c>
      <c r="R40" s="77" t="inlineStr">
        <is>
          <t>-</t>
        </is>
      </c>
      <c r="S40" s="1" t="inlineStr">
        <is>
          <t>-</t>
        </is>
      </c>
    </row>
    <row r="41">
      <c r="A41" s="74" t="n">
        <v>46134</v>
      </c>
      <c r="B41" s="12" t="inlineStr">
        <is>
          <t>タイ</t>
        </is>
      </c>
      <c r="C41" s="20" t="n">
        <v>0.3541666666666667</v>
      </c>
      <c r="D41" s="20" t="n">
        <v>0.7291666666666666</v>
      </c>
      <c r="E41" s="20" t="n">
        <v>0</v>
      </c>
      <c r="F41" s="12" t="inlineStr">
        <is>
          <t>本社</t>
        </is>
      </c>
      <c r="G41" s="12" t="inlineStr">
        <is>
          <t>本社</t>
        </is>
      </c>
      <c r="H41" s="12" t="inlineStr">
        <is>
          <t>助手</t>
        </is>
      </c>
      <c r="I41" s="59" t="inlineStr">
        <is>
          <t>EA105</t>
        </is>
      </c>
      <c r="J41" s="1" t="inlineStr">
        <is>
          <t>鳥居水門</t>
        </is>
      </c>
      <c r="K41" s="14" t="inlineStr">
        <is>
          <t>BIMCIMフォルダ資料の作成</t>
        </is>
      </c>
      <c r="L41" s="75" t="n">
        <v>1</v>
      </c>
      <c r="M41" s="12" t="inlineStr">
        <is>
          <t>AUTODESK</t>
        </is>
      </c>
      <c r="N41" s="76" t="n">
        <v>1750</v>
      </c>
      <c r="O41" s="12" t="inlineStr">
        <is>
          <t>なし</t>
        </is>
      </c>
      <c r="P41" s="12" t="inlineStr">
        <is>
          <t>-</t>
        </is>
      </c>
      <c r="Q41" s="12" t="inlineStr">
        <is>
          <t>-</t>
        </is>
      </c>
      <c r="R41" s="77" t="inlineStr">
        <is>
          <t>-</t>
        </is>
      </c>
      <c r="S41" s="1" t="inlineStr">
        <is>
          <t>-</t>
        </is>
      </c>
    </row>
    <row r="42">
      <c r="A42" s="74" t="n">
        <v>46134</v>
      </c>
      <c r="B42" s="12" t="inlineStr">
        <is>
          <t>タイ</t>
        </is>
      </c>
      <c r="C42" s="20" t="inlineStr">
        <is>
          <t>-</t>
        </is>
      </c>
      <c r="D42" s="20" t="inlineStr">
        <is>
          <t>-</t>
        </is>
      </c>
      <c r="E42" s="20" t="inlineStr">
        <is>
          <t>-</t>
        </is>
      </c>
      <c r="F42" s="12" t="inlineStr">
        <is>
          <t>-</t>
        </is>
      </c>
      <c r="G42" s="12" t="inlineStr">
        <is>
          <t>-</t>
        </is>
      </c>
      <c r="H42" s="12" t="inlineStr">
        <is>
          <t>助手</t>
        </is>
      </c>
      <c r="I42" s="38" t="inlineStr">
        <is>
          <t>VT01</t>
        </is>
      </c>
      <c r="J42" s="39" t="inlineStr">
        <is>
          <t>駐在所</t>
        </is>
      </c>
      <c r="K42" s="14" t="inlineStr">
        <is>
          <t>ベトナムオンライン</t>
        </is>
      </c>
      <c r="L42" s="75" t="n">
        <v>0.5</v>
      </c>
      <c r="M42" s="12" t="inlineStr">
        <is>
          <t>なし</t>
        </is>
      </c>
      <c r="N42" s="76" t="inlineStr">
        <is>
          <t>-</t>
        </is>
      </c>
      <c r="O42" s="12" t="inlineStr">
        <is>
          <t>なし</t>
        </is>
      </c>
      <c r="P42" s="12" t="inlineStr">
        <is>
          <t>-</t>
        </is>
      </c>
      <c r="Q42" s="12" t="inlineStr">
        <is>
          <t>-</t>
        </is>
      </c>
      <c r="R42" s="77" t="inlineStr">
        <is>
          <t>-</t>
        </is>
      </c>
      <c r="S42" s="1" t="inlineStr">
        <is>
          <t>-</t>
        </is>
      </c>
    </row>
    <row r="43" hidden="1" s="79">
      <c r="A43" s="74" t="n">
        <v>46135</v>
      </c>
      <c r="B43" s="12" t="inlineStr">
        <is>
          <t>内藤</t>
        </is>
      </c>
      <c r="C43" s="20" t="n">
        <v>0.3541666666666667</v>
      </c>
      <c r="D43" s="20" t="n">
        <v>0.75</v>
      </c>
      <c r="E43" s="20" t="n">
        <v>0.02083333333333333</v>
      </c>
      <c r="F43" s="12" t="inlineStr">
        <is>
          <t>本社</t>
        </is>
      </c>
      <c r="G43" s="12" t="inlineStr">
        <is>
          <t>本社</t>
        </is>
      </c>
      <c r="H43" s="12" t="inlineStr">
        <is>
          <t>助手</t>
        </is>
      </c>
      <c r="I43" s="12" t="inlineStr">
        <is>
          <t>事務</t>
        </is>
      </c>
      <c r="J43" s="12" t="inlineStr">
        <is>
          <t>事務</t>
        </is>
      </c>
      <c r="K43" s="14" t="inlineStr">
        <is>
          <t>請負業務一覧表の更新</t>
        </is>
      </c>
      <c r="L43" s="75" t="n">
        <v>0.5</v>
      </c>
      <c r="M43" s="12" t="inlineStr">
        <is>
          <t>なし</t>
        </is>
      </c>
      <c r="N43" s="76" t="inlineStr">
        <is>
          <t>-</t>
        </is>
      </c>
      <c r="O43" s="12" t="inlineStr">
        <is>
          <t>なし</t>
        </is>
      </c>
      <c r="P43" s="12" t="inlineStr">
        <is>
          <t>-</t>
        </is>
      </c>
      <c r="Q43" s="12" t="inlineStr">
        <is>
          <t>-</t>
        </is>
      </c>
      <c r="R43" s="77" t="inlineStr">
        <is>
          <t>-</t>
        </is>
      </c>
      <c r="S43" s="1" t="inlineStr">
        <is>
          <t>-</t>
        </is>
      </c>
    </row>
    <row r="44" hidden="1" s="79">
      <c r="A44" s="74" t="n">
        <v>46135</v>
      </c>
      <c r="B44" s="12" t="inlineStr">
        <is>
          <t>内藤</t>
        </is>
      </c>
      <c r="C44" s="20" t="inlineStr">
        <is>
          <t>-</t>
        </is>
      </c>
      <c r="D44" s="20" t="inlineStr">
        <is>
          <t>-</t>
        </is>
      </c>
      <c r="E44" s="20" t="inlineStr">
        <is>
          <t>-</t>
        </is>
      </c>
      <c r="F44" s="12" t="inlineStr">
        <is>
          <t>-</t>
        </is>
      </c>
      <c r="G44" s="12" t="inlineStr">
        <is>
          <t>-</t>
        </is>
      </c>
      <c r="H44" s="12" t="inlineStr">
        <is>
          <t>助手</t>
        </is>
      </c>
      <c r="I44" s="12" t="inlineStr">
        <is>
          <t>EA151</t>
        </is>
      </c>
      <c r="J44" s="12" t="inlineStr">
        <is>
          <t>由良川調査</t>
        </is>
      </c>
      <c r="K44" s="14" t="inlineStr">
        <is>
          <t>メール対応（入金について）</t>
        </is>
      </c>
      <c r="L44" s="75" t="n">
        <v>0.5</v>
      </c>
      <c r="M44" s="12" t="inlineStr">
        <is>
          <t>なし</t>
        </is>
      </c>
      <c r="N44" s="76" t="inlineStr">
        <is>
          <t>-</t>
        </is>
      </c>
      <c r="O44" s="12" t="inlineStr">
        <is>
          <t>なし</t>
        </is>
      </c>
      <c r="P44" s="12" t="inlineStr">
        <is>
          <t>-</t>
        </is>
      </c>
      <c r="Q44" s="12" t="inlineStr">
        <is>
          <t>-</t>
        </is>
      </c>
      <c r="R44" s="77" t="inlineStr">
        <is>
          <t>-</t>
        </is>
      </c>
      <c r="S44" s="1" t="inlineStr">
        <is>
          <t>-</t>
        </is>
      </c>
    </row>
    <row r="45" hidden="1" s="79">
      <c r="A45" s="74" t="n">
        <v>46135</v>
      </c>
      <c r="B45" s="12" t="inlineStr">
        <is>
          <t>内藤</t>
        </is>
      </c>
      <c r="C45" s="20" t="inlineStr">
        <is>
          <t>-</t>
        </is>
      </c>
      <c r="D45" s="20" t="inlineStr">
        <is>
          <t>-</t>
        </is>
      </c>
      <c r="E45" s="20" t="inlineStr">
        <is>
          <t>-</t>
        </is>
      </c>
      <c r="F45" s="12" t="inlineStr">
        <is>
          <t>-</t>
        </is>
      </c>
      <c r="G45" s="12" t="inlineStr">
        <is>
          <t>-</t>
        </is>
      </c>
      <c r="H45" s="12" t="inlineStr">
        <is>
          <t>助手</t>
        </is>
      </c>
      <c r="I45" s="59" t="inlineStr">
        <is>
          <t>EA45</t>
        </is>
      </c>
      <c r="J45" s="1" t="inlineStr">
        <is>
          <t>北陸</t>
        </is>
      </c>
      <c r="K45" s="14" t="inlineStr">
        <is>
          <t>黒田高架橋 詳細 質問に対しての回答を確認し、メール対応</t>
        </is>
      </c>
      <c r="L45" s="75" t="n">
        <v>0.5</v>
      </c>
      <c r="M45" s="12" t="inlineStr">
        <is>
          <t>なし</t>
        </is>
      </c>
      <c r="N45" s="76" t="inlineStr">
        <is>
          <t>-</t>
        </is>
      </c>
      <c r="O45" s="12" t="inlineStr">
        <is>
          <t>なし</t>
        </is>
      </c>
      <c r="P45" s="12" t="inlineStr">
        <is>
          <t>-</t>
        </is>
      </c>
      <c r="Q45" s="12" t="inlineStr">
        <is>
          <t>-</t>
        </is>
      </c>
      <c r="R45" s="77" t="inlineStr">
        <is>
          <t>-</t>
        </is>
      </c>
      <c r="S45" s="1" t="inlineStr">
        <is>
          <t>-</t>
        </is>
      </c>
    </row>
    <row r="46" hidden="1" s="79">
      <c r="A46" s="74" t="n">
        <v>46135</v>
      </c>
      <c r="B46" s="12" t="inlineStr">
        <is>
          <t>内藤</t>
        </is>
      </c>
      <c r="C46" s="20" t="inlineStr">
        <is>
          <t>-</t>
        </is>
      </c>
      <c r="D46" s="20" t="inlineStr">
        <is>
          <t>-</t>
        </is>
      </c>
      <c r="E46" s="20" t="inlineStr">
        <is>
          <t>-</t>
        </is>
      </c>
      <c r="F46" s="12" t="inlineStr">
        <is>
          <t>-</t>
        </is>
      </c>
      <c r="G46" s="12" t="inlineStr">
        <is>
          <t>-</t>
        </is>
      </c>
      <c r="H46" s="12" t="inlineStr">
        <is>
          <t>助手</t>
        </is>
      </c>
      <c r="I46" s="12" t="inlineStr">
        <is>
          <t>EA105</t>
        </is>
      </c>
      <c r="J46" s="12" t="inlineStr">
        <is>
          <t>鳥居水門</t>
        </is>
      </c>
      <c r="K46" s="14" t="inlineStr">
        <is>
          <t>BIM/CIMフォルダの納品</t>
        </is>
      </c>
      <c r="L46" s="75" t="n">
        <v>1</v>
      </c>
      <c r="M46" s="12" t="inlineStr">
        <is>
          <t>なし</t>
        </is>
      </c>
      <c r="N46" s="76" t="inlineStr">
        <is>
          <t>-</t>
        </is>
      </c>
      <c r="O46" s="12" t="inlineStr">
        <is>
          <t>なし</t>
        </is>
      </c>
      <c r="P46" s="12" t="inlineStr">
        <is>
          <t>-</t>
        </is>
      </c>
      <c r="Q46" s="12" t="inlineStr">
        <is>
          <t>-</t>
        </is>
      </c>
      <c r="R46" s="77" t="inlineStr">
        <is>
          <t>-</t>
        </is>
      </c>
      <c r="S46" s="1" t="inlineStr">
        <is>
          <t>-</t>
        </is>
      </c>
    </row>
    <row r="47" hidden="1" s="79">
      <c r="A47" s="74" t="n">
        <v>46135</v>
      </c>
      <c r="B47" s="12" t="inlineStr">
        <is>
          <t>内藤</t>
        </is>
      </c>
      <c r="C47" s="20" t="inlineStr">
        <is>
          <t>-</t>
        </is>
      </c>
      <c r="D47" s="20" t="inlineStr">
        <is>
          <t>-</t>
        </is>
      </c>
      <c r="E47" s="20" t="inlineStr">
        <is>
          <t>-</t>
        </is>
      </c>
      <c r="F47" s="12" t="inlineStr">
        <is>
          <t>-</t>
        </is>
      </c>
      <c r="G47" s="12" t="inlineStr">
        <is>
          <t>-</t>
        </is>
      </c>
      <c r="H47" s="12" t="inlineStr">
        <is>
          <t>助手</t>
        </is>
      </c>
      <c r="I47" s="12" t="inlineStr">
        <is>
          <t>EA106</t>
        </is>
      </c>
      <c r="J47" s="12" t="inlineStr">
        <is>
          <t>国道9号京都西</t>
        </is>
      </c>
      <c r="K47" s="14" t="inlineStr">
        <is>
          <t>バックパック式TLSに関する動画編集の補助</t>
        </is>
      </c>
      <c r="L47" s="75" t="n">
        <v>1.5</v>
      </c>
      <c r="M47" s="12" t="inlineStr">
        <is>
          <t>なし</t>
        </is>
      </c>
      <c r="N47" s="76" t="inlineStr">
        <is>
          <t>-</t>
        </is>
      </c>
      <c r="O47" s="12" t="inlineStr">
        <is>
          <t>なし</t>
        </is>
      </c>
      <c r="P47" s="12" t="inlineStr">
        <is>
          <t>-</t>
        </is>
      </c>
      <c r="Q47" s="12" t="inlineStr">
        <is>
          <t>-</t>
        </is>
      </c>
      <c r="R47" s="77" t="inlineStr">
        <is>
          <t>-</t>
        </is>
      </c>
      <c r="S47" s="1" t="inlineStr">
        <is>
          <t>-</t>
        </is>
      </c>
    </row>
    <row r="48">
      <c r="A48" s="74" t="n">
        <v>46134</v>
      </c>
      <c r="B48" s="12" t="inlineStr">
        <is>
          <t>タイ</t>
        </is>
      </c>
      <c r="C48" s="20" t="inlineStr">
        <is>
          <t>-</t>
        </is>
      </c>
      <c r="D48" s="20" t="inlineStr">
        <is>
          <t>-</t>
        </is>
      </c>
      <c r="E48" s="20" t="inlineStr">
        <is>
          <t>-</t>
        </is>
      </c>
      <c r="F48" s="12" t="inlineStr">
        <is>
          <t>-</t>
        </is>
      </c>
      <c r="G48" s="12" t="inlineStr">
        <is>
          <t>-</t>
        </is>
      </c>
      <c r="H48" s="12" t="inlineStr">
        <is>
          <t>助手</t>
        </is>
      </c>
      <c r="I48" s="12" t="inlineStr">
        <is>
          <t>EA156</t>
        </is>
      </c>
      <c r="J48" s="12" t="inlineStr">
        <is>
          <t>R7寺田拡幅</t>
        </is>
      </c>
      <c r="K48" s="14" t="inlineStr">
        <is>
          <t>寺田拡幅交差点の3Dモデル作成</t>
        </is>
      </c>
      <c r="L48" s="75" t="n">
        <v>6.5</v>
      </c>
      <c r="M48" s="12" t="inlineStr">
        <is>
          <t>AUTODESK</t>
        </is>
      </c>
      <c r="N48" s="76" t="n">
        <v>1750</v>
      </c>
      <c r="O48" s="12" t="inlineStr">
        <is>
          <t>なし</t>
        </is>
      </c>
      <c r="P48" s="12" t="inlineStr">
        <is>
          <t>-</t>
        </is>
      </c>
      <c r="Q48" s="12" t="inlineStr">
        <is>
          <t>-</t>
        </is>
      </c>
      <c r="R48" s="77" t="inlineStr">
        <is>
          <t>-</t>
        </is>
      </c>
      <c r="S48" s="1" t="inlineStr">
        <is>
          <t>-</t>
        </is>
      </c>
    </row>
    <row r="49">
      <c r="A49" s="74" t="n">
        <v>46134</v>
      </c>
      <c r="B49" s="12" t="inlineStr">
        <is>
          <t>ズイ</t>
        </is>
      </c>
      <c r="C49" s="20" t="n">
        <v>0.3125</v>
      </c>
      <c r="D49" s="20" t="n">
        <v>0.7083333333333334</v>
      </c>
      <c r="E49" s="20" t="n">
        <v>0.02083333333333333</v>
      </c>
      <c r="F49" s="12" t="inlineStr">
        <is>
          <t>駐在所</t>
        </is>
      </c>
      <c r="G49" s="12" t="inlineStr">
        <is>
          <t>駐在所</t>
        </is>
      </c>
      <c r="H49" s="12" t="inlineStr">
        <is>
          <t>助手</t>
        </is>
      </c>
      <c r="I49" s="12" t="inlineStr">
        <is>
          <t>EA105</t>
        </is>
      </c>
      <c r="J49" s="12" t="inlineStr">
        <is>
          <t>鳥居水門</t>
        </is>
      </c>
      <c r="K49" s="14" t="inlineStr">
        <is>
          <t>鳥居水門の統合モデを修正</t>
        </is>
      </c>
      <c r="L49" s="75" t="n">
        <v>2</v>
      </c>
      <c r="M49" s="12" t="inlineStr">
        <is>
          <t>AUTODESK</t>
        </is>
      </c>
      <c r="N49" s="76" t="n">
        <v>1750</v>
      </c>
      <c r="O49" s="12" t="inlineStr">
        <is>
          <t>なし</t>
        </is>
      </c>
      <c r="P49" s="12" t="inlineStr">
        <is>
          <t>-</t>
        </is>
      </c>
      <c r="Q49" s="12" t="inlineStr">
        <is>
          <t>-</t>
        </is>
      </c>
      <c r="R49" s="77" t="inlineStr">
        <is>
          <t>-</t>
        </is>
      </c>
      <c r="S49" s="1" t="inlineStr">
        <is>
          <t>-</t>
        </is>
      </c>
    </row>
    <row r="50">
      <c r="A50" s="74" t="n">
        <v>46134</v>
      </c>
      <c r="B50" s="12" t="inlineStr">
        <is>
          <t>ズイ</t>
        </is>
      </c>
      <c r="C50" s="20" t="inlineStr">
        <is>
          <t>-</t>
        </is>
      </c>
      <c r="D50" s="20" t="inlineStr">
        <is>
          <t>-</t>
        </is>
      </c>
      <c r="E50" s="20" t="inlineStr">
        <is>
          <t>-</t>
        </is>
      </c>
      <c r="F50" s="12" t="inlineStr">
        <is>
          <t>-</t>
        </is>
      </c>
      <c r="G50" s="12" t="inlineStr">
        <is>
          <t>-</t>
        </is>
      </c>
      <c r="H50" s="12" t="inlineStr">
        <is>
          <t>助手</t>
        </is>
      </c>
      <c r="I50" s="12" t="inlineStr">
        <is>
          <t>VT01</t>
        </is>
      </c>
      <c r="J50" s="12" t="inlineStr">
        <is>
          <t>駐在所</t>
        </is>
      </c>
      <c r="K50" s="14" t="inlineStr">
        <is>
          <t>ベトナムオンライン</t>
        </is>
      </c>
      <c r="L50" s="75" t="n">
        <v>0.5</v>
      </c>
      <c r="M50" s="12" t="inlineStr">
        <is>
          <t>なし</t>
        </is>
      </c>
      <c r="N50" s="76" t="inlineStr">
        <is>
          <t>-</t>
        </is>
      </c>
      <c r="O50" s="12" t="inlineStr">
        <is>
          <t>なし</t>
        </is>
      </c>
      <c r="P50" s="12" t="inlineStr">
        <is>
          <t>-</t>
        </is>
      </c>
      <c r="Q50" s="12" t="inlineStr">
        <is>
          <t>-</t>
        </is>
      </c>
      <c r="R50" s="77" t="inlineStr">
        <is>
          <t>-</t>
        </is>
      </c>
      <c r="S50" s="1" t="inlineStr">
        <is>
          <t>-</t>
        </is>
      </c>
    </row>
    <row r="51" hidden="1" s="79">
      <c r="A51" s="74" t="n">
        <v>46135</v>
      </c>
      <c r="B51" s="12" t="inlineStr">
        <is>
          <t>金本</t>
        </is>
      </c>
      <c r="C51" s="20" t="n">
        <v>0.3541666666666667</v>
      </c>
      <c r="D51" s="20" t="n">
        <v>0.7291666666666666</v>
      </c>
      <c r="E51" s="20" t="n">
        <v>0</v>
      </c>
      <c r="F51" s="12" t="inlineStr">
        <is>
          <t>本社</t>
        </is>
      </c>
      <c r="G51" s="12" t="inlineStr">
        <is>
          <t>本社</t>
        </is>
      </c>
      <c r="H51" s="12" t="inlineStr">
        <is>
          <t>助手</t>
        </is>
      </c>
      <c r="I51" s="12" t="inlineStr">
        <is>
          <t>営業</t>
        </is>
      </c>
      <c r="J51" s="12" t="inlineStr">
        <is>
          <t>営業</t>
        </is>
      </c>
      <c r="K51" s="14" t="inlineStr">
        <is>
          <t>錢高組 テイン様から質問いただいていたコルク＋の問題を検証し、メールで回答</t>
        </is>
      </c>
      <c r="L51" s="75" t="n">
        <v>2</v>
      </c>
      <c r="M51" s="12" t="inlineStr">
        <is>
          <t>なし</t>
        </is>
      </c>
      <c r="N51" s="76" t="inlineStr">
        <is>
          <t>-</t>
        </is>
      </c>
      <c r="O51" s="12" t="inlineStr">
        <is>
          <t>なし</t>
        </is>
      </c>
      <c r="P51" s="12" t="inlineStr">
        <is>
          <t>-</t>
        </is>
      </c>
      <c r="Q51" s="12" t="inlineStr">
        <is>
          <t>-</t>
        </is>
      </c>
      <c r="R51" s="77" t="inlineStr">
        <is>
          <t>-</t>
        </is>
      </c>
      <c r="S51" s="1" t="inlineStr">
        <is>
          <t>-</t>
        </is>
      </c>
    </row>
    <row r="52" hidden="1" s="79">
      <c r="A52" s="74" t="n">
        <v>46135</v>
      </c>
      <c r="B52" s="12" t="inlineStr">
        <is>
          <t>金本</t>
        </is>
      </c>
      <c r="C52" s="20" t="inlineStr">
        <is>
          <t>-</t>
        </is>
      </c>
      <c r="D52" s="20" t="inlineStr">
        <is>
          <t>-</t>
        </is>
      </c>
      <c r="E52" s="20" t="inlineStr">
        <is>
          <t>-</t>
        </is>
      </c>
      <c r="F52" s="12" t="inlineStr">
        <is>
          <t>-</t>
        </is>
      </c>
      <c r="G52" s="12" t="inlineStr">
        <is>
          <t>-</t>
        </is>
      </c>
      <c r="H52" s="12" t="inlineStr">
        <is>
          <t>助手</t>
        </is>
      </c>
      <c r="I52" s="12" t="inlineStr">
        <is>
          <t>営業</t>
        </is>
      </c>
      <c r="J52" s="12" t="inlineStr">
        <is>
          <t>営業</t>
        </is>
      </c>
      <c r="K52" s="14" t="inlineStr">
        <is>
          <t>昼からの打ち合わせのための資料作成(錢高組 Revit講習の反省会資料)</t>
        </is>
      </c>
      <c r="L52" s="75" t="n">
        <v>4</v>
      </c>
      <c r="M52" s="12" t="inlineStr">
        <is>
          <t>なし</t>
        </is>
      </c>
      <c r="N52" s="76" t="inlineStr">
        <is>
          <t>-</t>
        </is>
      </c>
      <c r="O52" s="12" t="inlineStr">
        <is>
          <t>なし</t>
        </is>
      </c>
      <c r="P52" s="12" t="inlineStr">
        <is>
          <t>-</t>
        </is>
      </c>
      <c r="Q52" s="12" t="inlineStr">
        <is>
          <t>-</t>
        </is>
      </c>
      <c r="R52" s="77" t="inlineStr">
        <is>
          <t>-</t>
        </is>
      </c>
      <c r="S52" s="1" t="inlineStr">
        <is>
          <t>-</t>
        </is>
      </c>
    </row>
    <row r="53" hidden="1" s="79">
      <c r="A53" s="74" t="n">
        <v>46135</v>
      </c>
      <c r="B53" s="12" t="inlineStr">
        <is>
          <t>金本</t>
        </is>
      </c>
      <c r="C53" s="20" t="inlineStr">
        <is>
          <t>-</t>
        </is>
      </c>
      <c r="D53" s="20" t="inlineStr">
        <is>
          <t>-</t>
        </is>
      </c>
      <c r="E53" s="20" t="inlineStr">
        <is>
          <t>-</t>
        </is>
      </c>
      <c r="F53" s="12" t="inlineStr">
        <is>
          <t>-</t>
        </is>
      </c>
      <c r="G53" s="12" t="inlineStr">
        <is>
          <t>-</t>
        </is>
      </c>
      <c r="H53" s="12" t="inlineStr">
        <is>
          <t>助手</t>
        </is>
      </c>
      <c r="I53" s="59" t="inlineStr">
        <is>
          <t>開発</t>
        </is>
      </c>
      <c r="J53" s="1" t="inlineStr">
        <is>
          <t>開発関係</t>
        </is>
      </c>
      <c r="K53" s="14" t="inlineStr">
        <is>
          <t>打ち合わせ(人見さんが作ってくれたソフトの説明、錢高組 Revit講習の反省会)</t>
        </is>
      </c>
      <c r="L53" s="75" t="n">
        <v>2</v>
      </c>
      <c r="M53" s="12" t="inlineStr">
        <is>
          <t>なし</t>
        </is>
      </c>
      <c r="N53" s="76" t="inlineStr">
        <is>
          <t>-</t>
        </is>
      </c>
      <c r="O53" s="12" t="inlineStr">
        <is>
          <t>なし</t>
        </is>
      </c>
      <c r="P53" s="12" t="inlineStr">
        <is>
          <t>-</t>
        </is>
      </c>
      <c r="Q53" s="12" t="inlineStr">
        <is>
          <t>-</t>
        </is>
      </c>
      <c r="R53" s="77" t="inlineStr">
        <is>
          <t>-</t>
        </is>
      </c>
      <c r="S53" s="1" t="inlineStr">
        <is>
          <t>-</t>
        </is>
      </c>
    </row>
    <row r="54" hidden="1" s="79">
      <c r="A54" s="74" t="n">
        <v>46135</v>
      </c>
      <c r="B54" s="12" t="inlineStr">
        <is>
          <t>フック</t>
        </is>
      </c>
      <c r="C54" s="20" t="n">
        <v>0.3541666666666667</v>
      </c>
      <c r="D54" s="20" t="n">
        <v>0.7291666666666666</v>
      </c>
      <c r="E54" s="20" t="n">
        <v>0</v>
      </c>
      <c r="F54" s="12" t="inlineStr">
        <is>
          <t>本社</t>
        </is>
      </c>
      <c r="G54" s="12" t="inlineStr">
        <is>
          <t>本社</t>
        </is>
      </c>
      <c r="H54" s="12" t="inlineStr">
        <is>
          <t>助手</t>
        </is>
      </c>
      <c r="I54" s="59" t="inlineStr">
        <is>
          <t>開発</t>
        </is>
      </c>
      <c r="J54" s="1" t="inlineStr">
        <is>
          <t>開発関係</t>
        </is>
      </c>
      <c r="K54" s="14" t="inlineStr">
        <is>
          <t>打ち合わせ(人見さんが作ってくれたソフトの説明、錢高組 Revit講習の反省会)</t>
        </is>
      </c>
      <c r="L54" s="75" t="n">
        <v>2</v>
      </c>
      <c r="M54" s="12" t="inlineStr">
        <is>
          <t>なし</t>
        </is>
      </c>
      <c r="N54" s="76" t="inlineStr">
        <is>
          <t>-</t>
        </is>
      </c>
      <c r="O54" s="12" t="inlineStr">
        <is>
          <t>なし</t>
        </is>
      </c>
      <c r="P54" s="12" t="inlineStr">
        <is>
          <t>-</t>
        </is>
      </c>
      <c r="Q54" s="12" t="inlineStr">
        <is>
          <t>-</t>
        </is>
      </c>
      <c r="R54" s="77" t="inlineStr">
        <is>
          <t>-</t>
        </is>
      </c>
      <c r="S54" s="1" t="inlineStr">
        <is>
          <t>-</t>
        </is>
      </c>
    </row>
    <row r="55" hidden="1" s="79">
      <c r="A55" s="74" t="n">
        <v>46135</v>
      </c>
      <c r="B55" s="12" t="inlineStr">
        <is>
          <t>フック</t>
        </is>
      </c>
      <c r="C55" s="20" t="inlineStr">
        <is>
          <t>-</t>
        </is>
      </c>
      <c r="D55" s="20" t="inlineStr">
        <is>
          <t>-</t>
        </is>
      </c>
      <c r="E55" s="20" t="inlineStr">
        <is>
          <t>-</t>
        </is>
      </c>
      <c r="F55" s="12" t="inlineStr">
        <is>
          <t>-</t>
        </is>
      </c>
      <c r="G55" s="12" t="inlineStr">
        <is>
          <t>-</t>
        </is>
      </c>
      <c r="H55" s="12" t="inlineStr">
        <is>
          <t>助手</t>
        </is>
      </c>
      <c r="I55" s="59" t="inlineStr">
        <is>
          <t>RD28</t>
        </is>
      </c>
      <c r="J55" s="1" t="inlineStr">
        <is>
          <t>小型ドローン</t>
        </is>
      </c>
      <c r="K55" s="14" t="inlineStr">
        <is>
          <t>部品の配置をシミュレーション</t>
        </is>
      </c>
      <c r="L55" s="75" t="n">
        <v>5</v>
      </c>
      <c r="M55" s="12" t="inlineStr">
        <is>
          <t>AUTODESK</t>
        </is>
      </c>
      <c r="N55" s="76" t="n">
        <v>1750</v>
      </c>
      <c r="O55" s="12" t="inlineStr">
        <is>
          <t>なし</t>
        </is>
      </c>
      <c r="P55" s="12" t="inlineStr">
        <is>
          <t>-</t>
        </is>
      </c>
      <c r="Q55" s="12" t="inlineStr">
        <is>
          <t>-</t>
        </is>
      </c>
      <c r="R55" s="77" t="inlineStr">
        <is>
          <t>-</t>
        </is>
      </c>
      <c r="S55" s="1" t="inlineStr">
        <is>
          <t>-</t>
        </is>
      </c>
    </row>
    <row r="56" hidden="1" s="79">
      <c r="A56" s="74" t="n">
        <v>46135</v>
      </c>
      <c r="B56" s="12" t="inlineStr">
        <is>
          <t>フック</t>
        </is>
      </c>
      <c r="C56" s="20" t="inlineStr">
        <is>
          <t>-</t>
        </is>
      </c>
      <c r="D56" s="20" t="inlineStr">
        <is>
          <t>-</t>
        </is>
      </c>
      <c r="E56" s="20" t="inlineStr">
        <is>
          <t>-</t>
        </is>
      </c>
      <c r="F56" s="12" t="inlineStr">
        <is>
          <t>-</t>
        </is>
      </c>
      <c r="G56" s="12" t="inlineStr">
        <is>
          <t>-</t>
        </is>
      </c>
      <c r="H56" s="12" t="inlineStr">
        <is>
          <t>助手</t>
        </is>
      </c>
      <c r="I56" s="12" t="inlineStr">
        <is>
          <t>営業</t>
        </is>
      </c>
      <c r="J56" s="12" t="inlineStr">
        <is>
          <t>営業</t>
        </is>
      </c>
      <c r="K56" s="14" t="inlineStr">
        <is>
          <t>錢高組 テイン様から質問いただいていたコルク＋の問題を検証</t>
        </is>
      </c>
      <c r="L56" s="75" t="n">
        <v>1</v>
      </c>
      <c r="M56" s="12" t="inlineStr">
        <is>
          <t>AUTODESK</t>
        </is>
      </c>
      <c r="N56" s="76" t="n">
        <v>1750</v>
      </c>
      <c r="O56" s="12" t="inlineStr">
        <is>
          <t>なし</t>
        </is>
      </c>
      <c r="P56" s="12" t="inlineStr">
        <is>
          <t>-</t>
        </is>
      </c>
      <c r="Q56" s="12" t="inlineStr">
        <is>
          <t>-</t>
        </is>
      </c>
      <c r="R56" s="77" t="inlineStr">
        <is>
          <t>-</t>
        </is>
      </c>
      <c r="S56" s="1" t="inlineStr">
        <is>
          <t>-</t>
        </is>
      </c>
    </row>
    <row r="57" hidden="1" s="79">
      <c r="A57" s="74" t="n">
        <v>46135</v>
      </c>
      <c r="B57" s="12" t="inlineStr">
        <is>
          <t>人見</t>
        </is>
      </c>
      <c r="C57" s="20" t="n">
        <v>0.3541666666666667</v>
      </c>
      <c r="D57" s="20" t="n">
        <v>0.7291666666666666</v>
      </c>
      <c r="E57" s="20" t="n">
        <v>0</v>
      </c>
      <c r="F57" s="12" t="inlineStr">
        <is>
          <t>本社</t>
        </is>
      </c>
      <c r="G57" s="12" t="inlineStr">
        <is>
          <t>本社</t>
        </is>
      </c>
      <c r="H57" s="12" t="inlineStr">
        <is>
          <t>助手</t>
        </is>
      </c>
      <c r="I57" s="59" t="inlineStr">
        <is>
          <t>開発</t>
        </is>
      </c>
      <c r="J57" s="1" t="inlineStr">
        <is>
          <t>開発関係</t>
        </is>
      </c>
      <c r="K57" s="14" t="inlineStr">
        <is>
          <t>打ち合わせ(VPN解説、錢高組 Revit講習の反省会)</t>
        </is>
      </c>
      <c r="L57" s="75" t="n">
        <v>2</v>
      </c>
      <c r="M57" s="12" t="inlineStr">
        <is>
          <t>なし</t>
        </is>
      </c>
      <c r="N57" s="76" t="inlineStr">
        <is>
          <t>-</t>
        </is>
      </c>
      <c r="O57" s="12" t="inlineStr">
        <is>
          <t>なし</t>
        </is>
      </c>
      <c r="P57" s="12" t="inlineStr">
        <is>
          <t>-</t>
        </is>
      </c>
      <c r="Q57" s="12" t="inlineStr">
        <is>
          <t>-</t>
        </is>
      </c>
      <c r="R57" s="77" t="inlineStr">
        <is>
          <t>-</t>
        </is>
      </c>
      <c r="S57" s="1" t="inlineStr">
        <is>
          <t>-</t>
        </is>
      </c>
    </row>
    <row r="58" hidden="1" s="79">
      <c r="A58" s="74" t="n">
        <v>46135</v>
      </c>
      <c r="B58" s="12" t="inlineStr">
        <is>
          <t>人見</t>
        </is>
      </c>
      <c r="C58" s="20" t="inlineStr">
        <is>
          <t>-</t>
        </is>
      </c>
      <c r="D58" s="20" t="inlineStr">
        <is>
          <t>-</t>
        </is>
      </c>
      <c r="E58" s="20" t="inlineStr">
        <is>
          <t>-</t>
        </is>
      </c>
      <c r="F58" s="12" t="inlineStr">
        <is>
          <t>-</t>
        </is>
      </c>
      <c r="G58" s="12" t="inlineStr">
        <is>
          <t>-</t>
        </is>
      </c>
      <c r="H58" s="12" t="inlineStr">
        <is>
          <t>助手</t>
        </is>
      </c>
      <c r="I58" s="59" t="inlineStr">
        <is>
          <t>事務</t>
        </is>
      </c>
      <c r="J58" s="1" t="inlineStr">
        <is>
          <t>事務</t>
        </is>
      </c>
      <c r="K58" s="14" t="inlineStr">
        <is>
          <t>第一土木HP更新</t>
        </is>
      </c>
      <c r="L58" s="75" t="n">
        <v>1</v>
      </c>
      <c r="M58" s="12" t="inlineStr">
        <is>
          <t>なし</t>
        </is>
      </c>
      <c r="N58" s="76" t="inlineStr">
        <is>
          <t>-</t>
        </is>
      </c>
      <c r="O58" s="12" t="inlineStr">
        <is>
          <t>なし</t>
        </is>
      </c>
      <c r="P58" s="12" t="inlineStr">
        <is>
          <t>-</t>
        </is>
      </c>
      <c r="Q58" s="12" t="inlineStr">
        <is>
          <t>-</t>
        </is>
      </c>
      <c r="R58" s="77" t="inlineStr">
        <is>
          <t>-</t>
        </is>
      </c>
      <c r="S58" s="1" t="inlineStr">
        <is>
          <t>-</t>
        </is>
      </c>
    </row>
    <row r="59" hidden="1" s="79">
      <c r="A59" s="74" t="n">
        <v>46135</v>
      </c>
      <c r="B59" s="12" t="inlineStr">
        <is>
          <t>人見</t>
        </is>
      </c>
      <c r="C59" s="20" t="inlineStr">
        <is>
          <t>-</t>
        </is>
      </c>
      <c r="D59" s="20" t="inlineStr">
        <is>
          <t>-</t>
        </is>
      </c>
      <c r="E59" s="20" t="inlineStr">
        <is>
          <t>-</t>
        </is>
      </c>
      <c r="F59" s="12" t="inlineStr">
        <is>
          <t>-</t>
        </is>
      </c>
      <c r="G59" s="12" t="inlineStr">
        <is>
          <t>-</t>
        </is>
      </c>
      <c r="H59" s="12" t="inlineStr">
        <is>
          <t>助手</t>
        </is>
      </c>
      <c r="I59" s="59" t="inlineStr">
        <is>
          <t>事務</t>
        </is>
      </c>
      <c r="J59" s="1" t="inlineStr">
        <is>
          <t>事務</t>
        </is>
      </c>
      <c r="K59" s="14" t="inlineStr">
        <is>
          <t>アースHP更新</t>
        </is>
      </c>
      <c r="L59" s="75" t="n">
        <v>1</v>
      </c>
      <c r="M59" s="12" t="inlineStr">
        <is>
          <t>なし</t>
        </is>
      </c>
      <c r="N59" s="76" t="inlineStr">
        <is>
          <t>-</t>
        </is>
      </c>
      <c r="O59" s="12" t="inlineStr">
        <is>
          <t>なし</t>
        </is>
      </c>
      <c r="P59" s="12" t="inlineStr">
        <is>
          <t>-</t>
        </is>
      </c>
      <c r="Q59" s="12" t="inlineStr">
        <is>
          <t>-</t>
        </is>
      </c>
      <c r="R59" s="77" t="inlineStr">
        <is>
          <t>-</t>
        </is>
      </c>
      <c r="S59" s="1" t="inlineStr">
        <is>
          <t>-</t>
        </is>
      </c>
    </row>
    <row r="60" hidden="1" s="79">
      <c r="A60" s="74" t="n">
        <v>46135</v>
      </c>
      <c r="B60" s="12" t="inlineStr">
        <is>
          <t>人見</t>
        </is>
      </c>
      <c r="C60" s="20" t="inlineStr">
        <is>
          <t>-</t>
        </is>
      </c>
      <c r="D60" s="20" t="inlineStr">
        <is>
          <t>-</t>
        </is>
      </c>
      <c r="E60" s="20" t="inlineStr">
        <is>
          <t>-</t>
        </is>
      </c>
      <c r="F60" s="12" t="inlineStr">
        <is>
          <t>-</t>
        </is>
      </c>
      <c r="G60" s="12" t="inlineStr">
        <is>
          <t>-</t>
        </is>
      </c>
      <c r="H60" s="12" t="inlineStr">
        <is>
          <t>助手</t>
        </is>
      </c>
      <c r="I60" s="59" t="inlineStr">
        <is>
          <t>開発</t>
        </is>
      </c>
      <c r="J60" s="1" t="inlineStr">
        <is>
          <t>開発関係</t>
        </is>
      </c>
      <c r="K60" s="14" t="inlineStr">
        <is>
          <t>VPNの学習</t>
        </is>
      </c>
      <c r="L60" s="75" t="n">
        <v>1</v>
      </c>
      <c r="M60" s="12" t="inlineStr">
        <is>
          <t>なし</t>
        </is>
      </c>
      <c r="N60" s="76" t="inlineStr">
        <is>
          <t>-</t>
        </is>
      </c>
      <c r="O60" s="12" t="inlineStr">
        <is>
          <t>なし</t>
        </is>
      </c>
      <c r="P60" s="12" t="inlineStr">
        <is>
          <t>-</t>
        </is>
      </c>
      <c r="Q60" s="12" t="inlineStr">
        <is>
          <t>-</t>
        </is>
      </c>
      <c r="R60" s="77" t="inlineStr">
        <is>
          <t>-</t>
        </is>
      </c>
      <c r="S60" s="1" t="inlineStr">
        <is>
          <t>-</t>
        </is>
      </c>
    </row>
    <row r="61" hidden="1" s="79">
      <c r="A61" s="74" t="n">
        <v>46135</v>
      </c>
      <c r="B61" s="12" t="inlineStr">
        <is>
          <t>人見</t>
        </is>
      </c>
      <c r="C61" s="20" t="inlineStr">
        <is>
          <t>-</t>
        </is>
      </c>
      <c r="D61" s="20" t="inlineStr">
        <is>
          <t>-</t>
        </is>
      </c>
      <c r="E61" s="20" t="inlineStr">
        <is>
          <t>-</t>
        </is>
      </c>
      <c r="F61" s="12" t="inlineStr">
        <is>
          <t>-</t>
        </is>
      </c>
      <c r="G61" s="12" t="inlineStr">
        <is>
          <t>-</t>
        </is>
      </c>
      <c r="H61" s="12" t="inlineStr">
        <is>
          <t>助手</t>
        </is>
      </c>
      <c r="I61" s="59" t="inlineStr">
        <is>
          <t>開発</t>
        </is>
      </c>
      <c r="J61" s="1" t="inlineStr">
        <is>
          <t>開発関係</t>
        </is>
      </c>
      <c r="K61" s="14" t="inlineStr">
        <is>
          <t>MissionPlannnerEAのAndroid対応研究</t>
        </is>
      </c>
      <c r="L61" s="75" t="n">
        <v>3</v>
      </c>
      <c r="M61" s="12" t="inlineStr">
        <is>
          <t>なし</t>
        </is>
      </c>
      <c r="N61" s="76" t="inlineStr">
        <is>
          <t>-</t>
        </is>
      </c>
      <c r="O61" s="12" t="inlineStr">
        <is>
          <t>なし</t>
        </is>
      </c>
      <c r="P61" s="12" t="inlineStr">
        <is>
          <t>-</t>
        </is>
      </c>
      <c r="Q61" s="12" t="inlineStr">
        <is>
          <t>-</t>
        </is>
      </c>
      <c r="R61" s="77" t="inlineStr">
        <is>
          <t>-</t>
        </is>
      </c>
      <c r="S61" s="1" t="inlineStr">
        <is>
          <t>-</t>
        </is>
      </c>
    </row>
    <row r="62" hidden="1" s="79">
      <c r="A62" s="74" t="n">
        <v>46135</v>
      </c>
      <c r="B62" s="12" t="inlineStr">
        <is>
          <t>天野</t>
        </is>
      </c>
      <c r="C62" s="20" t="n">
        <v>0.3541666666666667</v>
      </c>
      <c r="D62" s="20" t="n">
        <v>0.7291666666666666</v>
      </c>
      <c r="E62" s="20" t="n">
        <v>0</v>
      </c>
      <c r="F62" s="12" t="inlineStr">
        <is>
          <t>本社</t>
        </is>
      </c>
      <c r="G62" s="12" t="inlineStr">
        <is>
          <t>本社</t>
        </is>
      </c>
      <c r="H62" s="12" t="inlineStr">
        <is>
          <t>助手</t>
        </is>
      </c>
      <c r="I62" s="59" t="inlineStr">
        <is>
          <t>開発</t>
        </is>
      </c>
      <c r="J62" s="1" t="inlineStr">
        <is>
          <t>開発関係</t>
        </is>
      </c>
      <c r="K62" s="14" t="inlineStr">
        <is>
          <t>打ち合わせ(人見さんが作ってくれたソフトの説明、錢高組 Revit講習の反省会)</t>
        </is>
      </c>
      <c r="L62" s="75" t="n">
        <v>2</v>
      </c>
      <c r="M62" s="12" t="inlineStr">
        <is>
          <t>なし</t>
        </is>
      </c>
      <c r="N62" s="76" t="inlineStr">
        <is>
          <t>-</t>
        </is>
      </c>
      <c r="O62" s="12" t="inlineStr">
        <is>
          <t>なし</t>
        </is>
      </c>
      <c r="P62" s="12" t="inlineStr">
        <is>
          <t>-</t>
        </is>
      </c>
      <c r="Q62" s="12" t="inlineStr">
        <is>
          <t>-</t>
        </is>
      </c>
      <c r="R62" s="77" t="inlineStr">
        <is>
          <t>-</t>
        </is>
      </c>
      <c r="S62" s="1" t="inlineStr">
        <is>
          <t>-</t>
        </is>
      </c>
    </row>
    <row r="63" hidden="1" s="79">
      <c r="A63" s="74" t="n">
        <v>46135</v>
      </c>
      <c r="B63" s="12" t="inlineStr">
        <is>
          <t>天野</t>
        </is>
      </c>
      <c r="C63" s="20" t="inlineStr">
        <is>
          <t>-</t>
        </is>
      </c>
      <c r="D63" s="20" t="inlineStr">
        <is>
          <t>-</t>
        </is>
      </c>
      <c r="E63" s="20" t="inlineStr">
        <is>
          <t>-</t>
        </is>
      </c>
      <c r="F63" s="12" t="inlineStr">
        <is>
          <t>-</t>
        </is>
      </c>
      <c r="G63" s="12" t="inlineStr">
        <is>
          <t>-</t>
        </is>
      </c>
      <c r="H63" s="12" t="inlineStr">
        <is>
          <t>助手</t>
        </is>
      </c>
      <c r="I63" s="59" t="inlineStr">
        <is>
          <t>研修</t>
        </is>
      </c>
      <c r="J63" s="1" t="inlineStr">
        <is>
          <t>研修</t>
        </is>
      </c>
      <c r="K63" s="14" t="inlineStr">
        <is>
          <t>Revit学習　樋門モデル作成</t>
        </is>
      </c>
      <c r="L63" s="75" t="n">
        <v>6</v>
      </c>
      <c r="M63" s="12" t="inlineStr">
        <is>
          <t>AUTODESK</t>
        </is>
      </c>
      <c r="N63" s="76" t="n">
        <v>1750</v>
      </c>
      <c r="O63" s="12" t="inlineStr">
        <is>
          <t>なし</t>
        </is>
      </c>
      <c r="P63" s="12" t="inlineStr">
        <is>
          <t>-</t>
        </is>
      </c>
      <c r="Q63" s="12" t="inlineStr">
        <is>
          <t>-</t>
        </is>
      </c>
      <c r="R63" s="77" t="inlineStr">
        <is>
          <t>-</t>
        </is>
      </c>
      <c r="S63" s="1" t="inlineStr">
        <is>
          <t>-</t>
        </is>
      </c>
    </row>
    <row r="64" hidden="1" s="79">
      <c r="A64" s="74" t="n">
        <v>46135</v>
      </c>
      <c r="B64" s="12" t="inlineStr">
        <is>
          <t>内藤</t>
        </is>
      </c>
      <c r="C64" s="20" t="inlineStr">
        <is>
          <t>-</t>
        </is>
      </c>
      <c r="D64" s="20" t="inlineStr">
        <is>
          <t>-</t>
        </is>
      </c>
      <c r="E64" s="20" t="inlineStr">
        <is>
          <t>-</t>
        </is>
      </c>
      <c r="F64" s="12" t="inlineStr">
        <is>
          <t>-</t>
        </is>
      </c>
      <c r="G64" s="12" t="inlineStr">
        <is>
          <t>-</t>
        </is>
      </c>
      <c r="H64" s="12" t="inlineStr">
        <is>
          <t>助手</t>
        </is>
      </c>
      <c r="I64" s="59" t="inlineStr">
        <is>
          <t>EA134</t>
        </is>
      </c>
      <c r="J64" s="1" t="inlineStr">
        <is>
          <t>教材作成</t>
        </is>
      </c>
      <c r="K64" s="14" t="inlineStr">
        <is>
          <t>錢高組　講習会の報告会など</t>
        </is>
      </c>
      <c r="L64" s="75" t="n">
        <v>2</v>
      </c>
      <c r="M64" s="12" t="inlineStr">
        <is>
          <t>なし</t>
        </is>
      </c>
      <c r="N64" s="76" t="inlineStr">
        <is>
          <t>-</t>
        </is>
      </c>
      <c r="O64" s="12" t="inlineStr">
        <is>
          <t>なし</t>
        </is>
      </c>
      <c r="P64" s="12" t="inlineStr">
        <is>
          <t>-</t>
        </is>
      </c>
      <c r="Q64" s="12" t="inlineStr">
        <is>
          <t>-</t>
        </is>
      </c>
      <c r="R64" s="77" t="inlineStr">
        <is>
          <t>-</t>
        </is>
      </c>
      <c r="S64" s="1" t="inlineStr">
        <is>
          <t>-</t>
        </is>
      </c>
    </row>
    <row r="65" hidden="1" s="79">
      <c r="A65" s="74" t="n">
        <v>46135</v>
      </c>
      <c r="B65" s="12" t="inlineStr">
        <is>
          <t>内藤</t>
        </is>
      </c>
      <c r="C65" s="20" t="inlineStr">
        <is>
          <t>-</t>
        </is>
      </c>
      <c r="D65" s="20" t="inlineStr">
        <is>
          <t>-</t>
        </is>
      </c>
      <c r="E65" s="20" t="inlineStr">
        <is>
          <t>-</t>
        </is>
      </c>
      <c r="F65" s="12" t="inlineStr">
        <is>
          <t>-</t>
        </is>
      </c>
      <c r="G65" s="12" t="inlineStr">
        <is>
          <t>-</t>
        </is>
      </c>
      <c r="H65" s="12" t="inlineStr">
        <is>
          <t>助手</t>
        </is>
      </c>
      <c r="I65" s="38" t="inlineStr">
        <is>
          <t>営業</t>
        </is>
      </c>
      <c r="J65" s="39" t="inlineStr">
        <is>
          <t>営業</t>
        </is>
      </c>
      <c r="K65" s="14" t="inlineStr">
        <is>
          <t>事業プランの検討</t>
        </is>
      </c>
      <c r="L65" s="75" t="n">
        <v>1</v>
      </c>
      <c r="M65" s="12" t="inlineStr">
        <is>
          <t>なし</t>
        </is>
      </c>
      <c r="N65" s="76" t="inlineStr">
        <is>
          <t>-</t>
        </is>
      </c>
      <c r="O65" s="12" t="inlineStr">
        <is>
          <t>なし</t>
        </is>
      </c>
      <c r="P65" s="12" t="inlineStr">
        <is>
          <t>-</t>
        </is>
      </c>
      <c r="Q65" s="12" t="inlineStr">
        <is>
          <t>-</t>
        </is>
      </c>
      <c r="R65" s="77" t="inlineStr">
        <is>
          <t>-</t>
        </is>
      </c>
      <c r="S65" s="1" t="inlineStr">
        <is>
          <t>-</t>
        </is>
      </c>
    </row>
    <row r="66" hidden="1" s="79">
      <c r="A66" s="74" t="n">
        <v>46135</v>
      </c>
      <c r="B66" s="12" t="inlineStr">
        <is>
          <t>内藤</t>
        </is>
      </c>
      <c r="C66" s="20" t="inlineStr">
        <is>
          <t>-</t>
        </is>
      </c>
      <c r="D66" s="20" t="inlineStr">
        <is>
          <t>-</t>
        </is>
      </c>
      <c r="E66" s="20" t="inlineStr">
        <is>
          <t>-</t>
        </is>
      </c>
      <c r="F66" s="12" t="inlineStr">
        <is>
          <t>-</t>
        </is>
      </c>
      <c r="G66" s="12" t="inlineStr">
        <is>
          <t>-</t>
        </is>
      </c>
      <c r="H66" s="12" t="inlineStr">
        <is>
          <t>助手</t>
        </is>
      </c>
      <c r="I66" s="59" t="inlineStr">
        <is>
          <t>EA157</t>
        </is>
      </c>
      <c r="J66" s="1" t="inlineStr">
        <is>
          <t>蛙ヶ谷基準点</t>
        </is>
      </c>
      <c r="K66" s="14" t="inlineStr">
        <is>
          <t>24日の計測準備</t>
        </is>
      </c>
      <c r="L66" s="75" t="n">
        <v>1</v>
      </c>
      <c r="M66" s="12" t="inlineStr">
        <is>
          <t>なし</t>
        </is>
      </c>
      <c r="N66" s="76" t="inlineStr">
        <is>
          <t>-</t>
        </is>
      </c>
      <c r="O66" s="12" t="inlineStr">
        <is>
          <t>なし</t>
        </is>
      </c>
      <c r="P66" s="12" t="inlineStr">
        <is>
          <t>-</t>
        </is>
      </c>
      <c r="Q66" s="12" t="inlineStr">
        <is>
          <t>-</t>
        </is>
      </c>
      <c r="R66" s="77" t="inlineStr">
        <is>
          <t>-</t>
        </is>
      </c>
      <c r="S66" s="1" t="inlineStr">
        <is>
          <t>-</t>
        </is>
      </c>
    </row>
    <row r="67" hidden="1" s="79">
      <c r="A67" s="74" t="n">
        <v>46135</v>
      </c>
      <c r="B67" s="12" t="inlineStr">
        <is>
          <t>バタイ</t>
        </is>
      </c>
      <c r="C67" s="20" t="n">
        <v>0.3125</v>
      </c>
      <c r="D67" s="20" t="n">
        <v>0.7083333333333334</v>
      </c>
      <c r="E67" s="20" t="n">
        <v>0.04166666666666666</v>
      </c>
      <c r="F67" s="12" t="inlineStr">
        <is>
          <t>本社</t>
        </is>
      </c>
      <c r="G67" s="12" t="inlineStr">
        <is>
          <t>本社</t>
        </is>
      </c>
      <c r="H67" s="12" t="inlineStr">
        <is>
          <t>助手</t>
        </is>
      </c>
      <c r="I67" s="12" t="inlineStr">
        <is>
          <t>研修</t>
        </is>
      </c>
      <c r="J67" s="12" t="inlineStr">
        <is>
          <t>研修</t>
        </is>
      </c>
      <c r="K67" s="14" t="inlineStr">
        <is>
          <t>REVITマニュアル作成</t>
        </is>
      </c>
      <c r="L67" s="75" t="n">
        <v>8</v>
      </c>
      <c r="M67" s="12" t="inlineStr">
        <is>
          <t>なし</t>
        </is>
      </c>
      <c r="N67" s="76" t="inlineStr">
        <is>
          <t>-</t>
        </is>
      </c>
      <c r="O67" s="12" t="inlineStr">
        <is>
          <t>なし</t>
        </is>
      </c>
      <c r="P67" s="12" t="inlineStr">
        <is>
          <t>-</t>
        </is>
      </c>
      <c r="Q67" s="12" t="inlineStr">
        <is>
          <t>-</t>
        </is>
      </c>
      <c r="R67" s="77" t="inlineStr">
        <is>
          <t>-</t>
        </is>
      </c>
      <c r="S67" s="1" t="inlineStr">
        <is>
          <t>-</t>
        </is>
      </c>
    </row>
    <row r="68" hidden="1" s="79">
      <c r="A68" s="74" t="n">
        <v>46135</v>
      </c>
      <c r="B68" s="12" t="inlineStr">
        <is>
          <t>仲</t>
        </is>
      </c>
      <c r="C68" s="20" t="n">
        <v>0.3541666666666667</v>
      </c>
      <c r="D68" s="20" t="n">
        <v>0.7291666666666666</v>
      </c>
      <c r="E68" s="20" t="n">
        <v>0</v>
      </c>
      <c r="F68" s="12" t="inlineStr">
        <is>
          <t>本社</t>
        </is>
      </c>
      <c r="G68" s="12" t="inlineStr">
        <is>
          <t>本社</t>
        </is>
      </c>
      <c r="H68" s="12" t="inlineStr">
        <is>
          <t>助手</t>
        </is>
      </c>
      <c r="I68" s="38" t="inlineStr">
        <is>
          <t>EA94</t>
        </is>
      </c>
      <c r="J68" s="39" t="inlineStr">
        <is>
          <t>なにわ筋</t>
        </is>
      </c>
      <c r="K68" s="14" t="inlineStr">
        <is>
          <t>UQWiFi手続き諸々</t>
        </is>
      </c>
      <c r="L68" s="75" t="n">
        <v>2</v>
      </c>
      <c r="M68" s="12" t="inlineStr">
        <is>
          <t>なし</t>
        </is>
      </c>
      <c r="N68" s="76" t="inlineStr">
        <is>
          <t>-</t>
        </is>
      </c>
      <c r="O68" s="12" t="inlineStr">
        <is>
          <t>なし</t>
        </is>
      </c>
      <c r="P68" s="12" t="inlineStr">
        <is>
          <t>-</t>
        </is>
      </c>
      <c r="Q68" s="12" t="inlineStr">
        <is>
          <t>-</t>
        </is>
      </c>
      <c r="R68" s="77" t="inlineStr">
        <is>
          <t>-</t>
        </is>
      </c>
      <c r="S68" s="1" t="inlineStr">
        <is>
          <t>-</t>
        </is>
      </c>
    </row>
    <row r="69" hidden="1" s="79">
      <c r="A69" s="74" t="n">
        <v>46135</v>
      </c>
      <c r="B69" s="12" t="inlineStr">
        <is>
          <t>仲</t>
        </is>
      </c>
      <c r="C69" s="20" t="inlineStr">
        <is>
          <t>-</t>
        </is>
      </c>
      <c r="D69" s="20" t="inlineStr">
        <is>
          <t>-</t>
        </is>
      </c>
      <c r="E69" s="20" t="inlineStr">
        <is>
          <t>-</t>
        </is>
      </c>
      <c r="F69" s="12" t="inlineStr">
        <is>
          <t>-</t>
        </is>
      </c>
      <c r="G69" s="12" t="inlineStr">
        <is>
          <t>-</t>
        </is>
      </c>
      <c r="H69" s="12" t="inlineStr">
        <is>
          <t>助手</t>
        </is>
      </c>
      <c r="I69" s="59" t="inlineStr">
        <is>
          <t>EA94</t>
        </is>
      </c>
      <c r="J69" s="1" t="inlineStr">
        <is>
          <t>なにわ筋</t>
        </is>
      </c>
      <c r="K69" s="14" t="inlineStr">
        <is>
          <t>KOLC+ラベル表示修正(EATAP)</t>
        </is>
      </c>
      <c r="L69" s="75" t="n">
        <v>4</v>
      </c>
      <c r="M69" s="12" t="inlineStr">
        <is>
          <t>なし</t>
        </is>
      </c>
      <c r="N69" s="76" t="inlineStr">
        <is>
          <t>-</t>
        </is>
      </c>
      <c r="O69" s="12" t="inlineStr">
        <is>
          <t>なし</t>
        </is>
      </c>
      <c r="P69" s="12" t="inlineStr">
        <is>
          <t>-</t>
        </is>
      </c>
      <c r="Q69" s="12" t="inlineStr">
        <is>
          <t>-</t>
        </is>
      </c>
      <c r="R69" s="77" t="inlineStr">
        <is>
          <t>-</t>
        </is>
      </c>
      <c r="S69" s="1" t="inlineStr">
        <is>
          <t>-</t>
        </is>
      </c>
    </row>
    <row r="70" hidden="1" s="79">
      <c r="A70" s="74" t="n">
        <v>46135</v>
      </c>
      <c r="B70" s="12" t="inlineStr">
        <is>
          <t>仲</t>
        </is>
      </c>
      <c r="C70" s="20" t="inlineStr">
        <is>
          <t>-</t>
        </is>
      </c>
      <c r="D70" s="20" t="inlineStr">
        <is>
          <t>-</t>
        </is>
      </c>
      <c r="E70" s="20" t="inlineStr">
        <is>
          <t>-</t>
        </is>
      </c>
      <c r="F70" s="12" t="inlineStr">
        <is>
          <t>-</t>
        </is>
      </c>
      <c r="G70" s="12" t="inlineStr">
        <is>
          <t>-</t>
        </is>
      </c>
      <c r="H70" s="12" t="inlineStr">
        <is>
          <t>助手</t>
        </is>
      </c>
      <c r="I70" s="12" t="inlineStr">
        <is>
          <t>EA157</t>
        </is>
      </c>
      <c r="J70" s="12" t="inlineStr">
        <is>
          <t>蛙ヶ谷基準点</t>
        </is>
      </c>
      <c r="K70" s="14" t="inlineStr">
        <is>
          <t>24日の計測準備</t>
        </is>
      </c>
      <c r="L70" s="75" t="n">
        <v>1</v>
      </c>
      <c r="M70" s="12" t="inlineStr">
        <is>
          <t>なし</t>
        </is>
      </c>
      <c r="N70" s="76" t="inlineStr">
        <is>
          <t>-</t>
        </is>
      </c>
      <c r="O70" s="12" t="inlineStr">
        <is>
          <t>なし</t>
        </is>
      </c>
      <c r="P70" s="12" t="inlineStr">
        <is>
          <t>-</t>
        </is>
      </c>
      <c r="Q70" s="12" t="inlineStr">
        <is>
          <t>-</t>
        </is>
      </c>
      <c r="R70" s="77" t="inlineStr">
        <is>
          <t>-</t>
        </is>
      </c>
      <c r="S70" s="1" t="inlineStr">
        <is>
          <t>-</t>
        </is>
      </c>
    </row>
    <row r="71" hidden="1" s="79">
      <c r="A71" s="74" t="n">
        <v>46135</v>
      </c>
      <c r="B71" s="12" t="inlineStr">
        <is>
          <t>仲</t>
        </is>
      </c>
      <c r="C71" s="20" t="inlineStr">
        <is>
          <t>-</t>
        </is>
      </c>
      <c r="D71" s="20" t="inlineStr">
        <is>
          <t>-</t>
        </is>
      </c>
      <c r="E71" s="20" t="inlineStr">
        <is>
          <t>-</t>
        </is>
      </c>
      <c r="F71" s="12" t="inlineStr">
        <is>
          <t>-</t>
        </is>
      </c>
      <c r="G71" s="12" t="inlineStr">
        <is>
          <t>-</t>
        </is>
      </c>
      <c r="H71" s="12" t="inlineStr">
        <is>
          <t>助手</t>
        </is>
      </c>
      <c r="I71" s="38" t="inlineStr">
        <is>
          <t>営業</t>
        </is>
      </c>
      <c r="J71" s="39" t="inlineStr">
        <is>
          <t>営業</t>
        </is>
      </c>
      <c r="K71" s="14" t="inlineStr">
        <is>
          <t>錢高組　講習会の報告会など</t>
        </is>
      </c>
      <c r="L71" s="75" t="n">
        <v>1</v>
      </c>
      <c r="M71" s="12" t="inlineStr">
        <is>
          <t>なし</t>
        </is>
      </c>
      <c r="N71" s="76" t="inlineStr">
        <is>
          <t>-</t>
        </is>
      </c>
      <c r="O71" s="12" t="inlineStr">
        <is>
          <t>なし</t>
        </is>
      </c>
      <c r="P71" s="12" t="inlineStr">
        <is>
          <t>-</t>
        </is>
      </c>
      <c r="Q71" s="12" t="inlineStr">
        <is>
          <t>-</t>
        </is>
      </c>
      <c r="R71" s="77" t="inlineStr">
        <is>
          <t>-</t>
        </is>
      </c>
      <c r="S71" s="1" t="inlineStr">
        <is>
          <t>-</t>
        </is>
      </c>
    </row>
    <row r="72" hidden="1" s="79">
      <c r="A72" s="74" t="n">
        <v>46135</v>
      </c>
      <c r="B72" s="12" t="inlineStr">
        <is>
          <t>竹本</t>
        </is>
      </c>
      <c r="C72" s="20" t="n">
        <v>0.3541666666666667</v>
      </c>
      <c r="D72" s="20" t="n">
        <v>0.7291666666666666</v>
      </c>
      <c r="E72" s="20" t="n">
        <v>0</v>
      </c>
      <c r="F72" s="12" t="inlineStr">
        <is>
          <t>現場</t>
        </is>
      </c>
      <c r="G72" s="12" t="inlineStr">
        <is>
          <t>現場</t>
        </is>
      </c>
      <c r="H72" s="12" t="inlineStr">
        <is>
          <t>技師</t>
        </is>
      </c>
      <c r="I72" s="38" t="inlineStr">
        <is>
          <t>EA156</t>
        </is>
      </c>
      <c r="J72" s="39" t="inlineStr">
        <is>
          <t>R7寺田拡幅</t>
        </is>
      </c>
      <c r="K72" s="14" t="inlineStr">
        <is>
          <t>測量計画図作成</t>
        </is>
      </c>
      <c r="L72" s="75" t="n">
        <v>8</v>
      </c>
      <c r="M72" s="12" t="inlineStr">
        <is>
          <t>武蔵</t>
        </is>
      </c>
      <c r="N72" s="76" t="n">
        <v>480</v>
      </c>
      <c r="O72" s="12" t="inlineStr">
        <is>
          <t>なし</t>
        </is>
      </c>
      <c r="P72" s="12" t="inlineStr">
        <is>
          <t>-</t>
        </is>
      </c>
      <c r="Q72" s="12" t="inlineStr">
        <is>
          <t>-</t>
        </is>
      </c>
      <c r="R72" s="77" t="inlineStr">
        <is>
          <t>-</t>
        </is>
      </c>
      <c r="S72" s="1" t="inlineStr">
        <is>
          <t>-</t>
        </is>
      </c>
      <c r="T72" s="1" t="inlineStr">
        <is>
          <t>南丹事務所にて</t>
        </is>
      </c>
    </row>
    <row r="73" hidden="1" s="79">
      <c r="A73" s="74" t="n">
        <v>46135</v>
      </c>
      <c r="B73" s="12" t="inlineStr">
        <is>
          <t>ズイ</t>
        </is>
      </c>
      <c r="C73" s="20" t="n">
        <v>0.3125</v>
      </c>
      <c r="D73" s="20" t="n">
        <v>0.7291666666666666</v>
      </c>
      <c r="E73" s="20" t="n">
        <v>0.04166666666666666</v>
      </c>
      <c r="F73" s="12" t="inlineStr">
        <is>
          <t>本社</t>
        </is>
      </c>
      <c r="G73" s="12" t="inlineStr">
        <is>
          <t>本社</t>
        </is>
      </c>
      <c r="H73" s="12" t="inlineStr">
        <is>
          <t>助手</t>
        </is>
      </c>
      <c r="I73" s="38" t="inlineStr">
        <is>
          <t>EA134</t>
        </is>
      </c>
      <c r="J73" s="39" t="inlineStr">
        <is>
          <t>教材作成</t>
        </is>
      </c>
      <c r="K73" s="14" t="inlineStr">
        <is>
          <t>Twinmotionによって施工ステップのガイドを作成</t>
        </is>
      </c>
      <c r="L73" s="75" t="n">
        <v>8.5</v>
      </c>
      <c r="M73" s="12" t="inlineStr">
        <is>
          <t>AUTODESK</t>
        </is>
      </c>
      <c r="N73" s="76" t="n">
        <v>1750</v>
      </c>
      <c r="O73" s="12" t="inlineStr">
        <is>
          <t>なし</t>
        </is>
      </c>
      <c r="P73" s="12" t="inlineStr">
        <is>
          <t>-</t>
        </is>
      </c>
      <c r="Q73" s="12" t="inlineStr">
        <is>
          <t>-</t>
        </is>
      </c>
      <c r="R73" s="77" t="inlineStr">
        <is>
          <t>-</t>
        </is>
      </c>
      <c r="S73" s="1" t="inlineStr">
        <is>
          <t>-</t>
        </is>
      </c>
    </row>
    <row r="74" hidden="1" s="79">
      <c r="A74" s="74" t="n">
        <v>46135</v>
      </c>
      <c r="B74" s="12" t="inlineStr">
        <is>
          <t>タイ</t>
        </is>
      </c>
      <c r="C74" s="20" t="n">
        <v>0.3541666666666667</v>
      </c>
      <c r="D74" s="20" t="n">
        <v>0.7291666666666666</v>
      </c>
      <c r="E74" s="20" t="n">
        <v>0</v>
      </c>
      <c r="F74" s="12" t="inlineStr">
        <is>
          <t>本社</t>
        </is>
      </c>
      <c r="G74" s="12" t="inlineStr">
        <is>
          <t>本社</t>
        </is>
      </c>
      <c r="H74" s="12" t="inlineStr">
        <is>
          <t>助手</t>
        </is>
      </c>
      <c r="I74" s="59" t="inlineStr">
        <is>
          <t>VT01</t>
        </is>
      </c>
      <c r="J74" s="1" t="inlineStr">
        <is>
          <t>駐在所</t>
        </is>
      </c>
      <c r="K74" s="14" t="inlineStr">
        <is>
          <t>ベトナムオンライン</t>
        </is>
      </c>
      <c r="L74" s="75" t="n">
        <v>0.5</v>
      </c>
      <c r="M74" s="12" t="inlineStr">
        <is>
          <t>なし</t>
        </is>
      </c>
      <c r="N74" s="76" t="inlineStr">
        <is>
          <t>-</t>
        </is>
      </c>
      <c r="O74" s="12" t="inlineStr">
        <is>
          <t>なし</t>
        </is>
      </c>
      <c r="P74" s="12" t="inlineStr">
        <is>
          <t>-</t>
        </is>
      </c>
      <c r="Q74" s="12" t="inlineStr">
        <is>
          <t>-</t>
        </is>
      </c>
      <c r="R74" s="77" t="inlineStr">
        <is>
          <t>-</t>
        </is>
      </c>
      <c r="S74" s="1" t="inlineStr">
        <is>
          <t>-</t>
        </is>
      </c>
    </row>
    <row r="75" hidden="1" s="79">
      <c r="A75" s="74" t="n">
        <v>46135</v>
      </c>
      <c r="B75" s="12" t="inlineStr">
        <is>
          <t>タイ</t>
        </is>
      </c>
      <c r="C75" s="20" t="inlineStr">
        <is>
          <t>-</t>
        </is>
      </c>
      <c r="D75" s="20" t="inlineStr">
        <is>
          <t>-</t>
        </is>
      </c>
      <c r="E75" s="20" t="inlineStr">
        <is>
          <t>-</t>
        </is>
      </c>
      <c r="F75" s="12" t="inlineStr">
        <is>
          <t>-</t>
        </is>
      </c>
      <c r="G75" s="12" t="inlineStr">
        <is>
          <t>-</t>
        </is>
      </c>
      <c r="H75" s="12" t="inlineStr">
        <is>
          <t>助手</t>
        </is>
      </c>
      <c r="I75" s="59" t="inlineStr">
        <is>
          <t>開発</t>
        </is>
      </c>
      <c r="J75" s="1" t="inlineStr">
        <is>
          <t>開発関係</t>
        </is>
      </c>
      <c r="K75" s="14" t="inlineStr">
        <is>
          <t>打ち合わせ(人見さんが作ってくれたソフトの説明、錢高組 Revit講習の反省会)</t>
        </is>
      </c>
      <c r="L75" s="75" t="n">
        <v>2</v>
      </c>
      <c r="M75" s="12" t="inlineStr">
        <is>
          <t>なし</t>
        </is>
      </c>
      <c r="N75" s="76" t="inlineStr">
        <is>
          <t>-</t>
        </is>
      </c>
      <c r="O75" s="12" t="inlineStr">
        <is>
          <t>なし</t>
        </is>
      </c>
      <c r="P75" s="12" t="inlineStr">
        <is>
          <t>-</t>
        </is>
      </c>
      <c r="Q75" s="12" t="inlineStr">
        <is>
          <t>-</t>
        </is>
      </c>
      <c r="R75" s="77" t="inlineStr">
        <is>
          <t>-</t>
        </is>
      </c>
      <c r="S75" s="1" t="inlineStr">
        <is>
          <t>-</t>
        </is>
      </c>
    </row>
    <row r="76" hidden="1" s="79">
      <c r="A76" s="74" t="n">
        <v>46135</v>
      </c>
      <c r="B76" s="12" t="inlineStr">
        <is>
          <t>タイ</t>
        </is>
      </c>
      <c r="C76" s="20" t="inlineStr">
        <is>
          <t>-</t>
        </is>
      </c>
      <c r="D76" s="20" t="inlineStr">
        <is>
          <t>-</t>
        </is>
      </c>
      <c r="E76" s="20" t="inlineStr">
        <is>
          <t>-</t>
        </is>
      </c>
      <c r="F76" s="12" t="inlineStr">
        <is>
          <t>-</t>
        </is>
      </c>
      <c r="G76" s="12" t="inlineStr">
        <is>
          <t>-</t>
        </is>
      </c>
      <c r="H76" s="12" t="inlineStr">
        <is>
          <t>助手</t>
        </is>
      </c>
      <c r="I76" s="59" t="inlineStr">
        <is>
          <t>EA156</t>
        </is>
      </c>
      <c r="J76" s="1" t="inlineStr">
        <is>
          <t>R7寺田拡幅</t>
        </is>
      </c>
      <c r="K76" s="14" t="inlineStr">
        <is>
          <t>寺田拡幅交差点の3Dモデル作成</t>
        </is>
      </c>
      <c r="L76" s="75" t="n">
        <v>5.5</v>
      </c>
      <c r="M76" s="12" t="inlineStr">
        <is>
          <t>AUTODESK</t>
        </is>
      </c>
      <c r="N76" s="76" t="n">
        <v>1750</v>
      </c>
      <c r="O76" s="12" t="inlineStr">
        <is>
          <t>なし</t>
        </is>
      </c>
      <c r="P76" s="12" t="inlineStr">
        <is>
          <t>-</t>
        </is>
      </c>
      <c r="Q76" s="12" t="inlineStr">
        <is>
          <t>-</t>
        </is>
      </c>
      <c r="R76" s="77" t="inlineStr">
        <is>
          <t>-</t>
        </is>
      </c>
      <c r="S76" s="1" t="inlineStr">
        <is>
          <t>-</t>
        </is>
      </c>
    </row>
    <row r="77" hidden="1" s="79">
      <c r="A77" s="74" t="n">
        <v>46135</v>
      </c>
      <c r="B77" s="12" t="inlineStr">
        <is>
          <t>南</t>
        </is>
      </c>
      <c r="C77" s="20" t="n">
        <v>0.3541666666666667</v>
      </c>
      <c r="D77" s="20" t="n">
        <v>0.7291666666666666</v>
      </c>
      <c r="E77" s="20" t="n">
        <v>0</v>
      </c>
      <c r="F77" s="12" t="inlineStr">
        <is>
          <t>本社</t>
        </is>
      </c>
      <c r="G77" s="12" t="inlineStr">
        <is>
          <t>本社</t>
        </is>
      </c>
      <c r="H77" s="12" t="inlineStr">
        <is>
          <t>助手</t>
        </is>
      </c>
      <c r="I77" s="59" t="inlineStr">
        <is>
          <t>開発</t>
        </is>
      </c>
      <c r="J77" s="1" t="inlineStr">
        <is>
          <t>開発関係</t>
        </is>
      </c>
      <c r="K77" s="14" t="inlineStr">
        <is>
          <t>打ち合わせ(VPN解説、錢高組 Revit講習の反省会)</t>
        </is>
      </c>
      <c r="L77" s="75" t="n">
        <v>2</v>
      </c>
      <c r="M77" s="12" t="inlineStr">
        <is>
          <t>なし</t>
        </is>
      </c>
      <c r="N77" s="76" t="inlineStr">
        <is>
          <t>-</t>
        </is>
      </c>
      <c r="O77" s="12" t="inlineStr">
        <is>
          <t>なし</t>
        </is>
      </c>
      <c r="P77" s="12" t="inlineStr">
        <is>
          <t>-</t>
        </is>
      </c>
      <c r="Q77" s="12" t="inlineStr">
        <is>
          <t>-</t>
        </is>
      </c>
      <c r="R77" s="77" t="inlineStr">
        <is>
          <t>-</t>
        </is>
      </c>
      <c r="S77" s="1" t="inlineStr">
        <is>
          <t>-</t>
        </is>
      </c>
    </row>
    <row r="78" hidden="1" s="79">
      <c r="A78" s="74" t="n">
        <v>46135</v>
      </c>
      <c r="B78" s="12" t="inlineStr">
        <is>
          <t>南</t>
        </is>
      </c>
      <c r="C78" s="20" t="inlineStr">
        <is>
          <t>-</t>
        </is>
      </c>
      <c r="D78" s="20" t="inlineStr">
        <is>
          <t>-</t>
        </is>
      </c>
      <c r="E78" s="20" t="inlineStr">
        <is>
          <t>-</t>
        </is>
      </c>
      <c r="F78" s="12" t="inlineStr">
        <is>
          <t>-</t>
        </is>
      </c>
      <c r="G78" s="12" t="inlineStr">
        <is>
          <t>-</t>
        </is>
      </c>
      <c r="H78" s="12" t="inlineStr">
        <is>
          <t>助手</t>
        </is>
      </c>
      <c r="I78" s="59" t="inlineStr">
        <is>
          <t>営業</t>
        </is>
      </c>
      <c r="J78" s="1" t="inlineStr">
        <is>
          <t>営業</t>
        </is>
      </c>
      <c r="K78" s="14" t="inlineStr">
        <is>
          <t>9号バックパック式計測の動画編集</t>
        </is>
      </c>
      <c r="L78" s="75" t="n">
        <v>6</v>
      </c>
      <c r="M78" s="12" t="inlineStr">
        <is>
          <t>なし</t>
        </is>
      </c>
      <c r="N78" s="76" t="inlineStr">
        <is>
          <t>-</t>
        </is>
      </c>
      <c r="O78" s="12" t="inlineStr">
        <is>
          <t>なし</t>
        </is>
      </c>
      <c r="P78" s="12" t="inlineStr">
        <is>
          <t>-</t>
        </is>
      </c>
      <c r="Q78" s="12" t="inlineStr">
        <is>
          <t>-</t>
        </is>
      </c>
      <c r="R78" s="77" t="inlineStr">
        <is>
          <t>-</t>
        </is>
      </c>
      <c r="S78" s="1" t="inlineStr">
        <is>
          <t>-</t>
        </is>
      </c>
    </row>
    <row r="79">
      <c r="A79" s="74" t="n">
        <v>46134</v>
      </c>
      <c r="B79" s="12" t="inlineStr">
        <is>
          <t>ズイ</t>
        </is>
      </c>
      <c r="C79" s="20" t="inlineStr">
        <is>
          <t>-</t>
        </is>
      </c>
      <c r="D79" s="20" t="inlineStr">
        <is>
          <t>-</t>
        </is>
      </c>
      <c r="E79" s="20" t="inlineStr">
        <is>
          <t>-</t>
        </is>
      </c>
      <c r="F79" s="12" t="inlineStr">
        <is>
          <t>-</t>
        </is>
      </c>
      <c r="G79" s="12" t="inlineStr">
        <is>
          <t>-</t>
        </is>
      </c>
      <c r="H79" s="12" t="inlineStr">
        <is>
          <t>助手</t>
        </is>
      </c>
      <c r="I79" s="59" t="inlineStr">
        <is>
          <t>EA134</t>
        </is>
      </c>
      <c r="J79" s="1" t="inlineStr">
        <is>
          <t>教材作成</t>
        </is>
      </c>
      <c r="K79" s="14" t="inlineStr">
        <is>
          <t>Twinmotionによって施工ステップのガイドを作成</t>
        </is>
      </c>
      <c r="L79" s="75" t="n">
        <v>6</v>
      </c>
      <c r="M79" s="12" t="inlineStr">
        <is>
          <t>AUTODESK</t>
        </is>
      </c>
      <c r="N79" s="76" t="n">
        <v>1750</v>
      </c>
      <c r="O79" s="12" t="inlineStr">
        <is>
          <t>なし</t>
        </is>
      </c>
      <c r="P79" s="12" t="inlineStr">
        <is>
          <t>-</t>
        </is>
      </c>
      <c r="Q79" s="12" t="inlineStr">
        <is>
          <t>-</t>
        </is>
      </c>
      <c r="R79" s="77" t="inlineStr">
        <is>
          <t>-</t>
        </is>
      </c>
      <c r="S79" s="1" t="inlineStr">
        <is>
          <t>-</t>
        </is>
      </c>
    </row>
    <row r="80" hidden="1" s="79">
      <c r="A80" s="74" t="n">
        <v>46135</v>
      </c>
      <c r="B80" s="12" t="inlineStr">
        <is>
          <t>千原</t>
        </is>
      </c>
      <c r="C80" s="20" t="n">
        <v>0.4166666666666667</v>
      </c>
      <c r="D80" s="20" t="n">
        <v>0.7916666666666666</v>
      </c>
      <c r="E80" s="20" t="n">
        <v>0.0625</v>
      </c>
      <c r="F80" s="12" t="inlineStr">
        <is>
          <t>リモート</t>
        </is>
      </c>
      <c r="G80" s="12" t="inlineStr">
        <is>
          <t>リモート</t>
        </is>
      </c>
      <c r="H80" s="12" t="inlineStr">
        <is>
          <t>助手</t>
        </is>
      </c>
      <c r="I80" s="14" t="inlineStr">
        <is>
          <t>研修</t>
        </is>
      </c>
      <c r="J80" s="12" t="inlineStr">
        <is>
          <t>研修</t>
        </is>
      </c>
      <c r="K80" s="14" t="inlineStr">
        <is>
          <t>Autodesk操作資料テンプレート作成・編集説明書作成</t>
        </is>
      </c>
      <c r="L80" s="75" t="n">
        <v>8</v>
      </c>
      <c r="M80" s="12" t="inlineStr">
        <is>
          <t>なし</t>
        </is>
      </c>
      <c r="N80" s="76" t="inlineStr">
        <is>
          <t>-</t>
        </is>
      </c>
      <c r="O80" s="12" t="inlineStr">
        <is>
          <t>なし</t>
        </is>
      </c>
      <c r="P80" s="12" t="inlineStr">
        <is>
          <t>-</t>
        </is>
      </c>
      <c r="Q80" s="12" t="inlineStr">
        <is>
          <t>-</t>
        </is>
      </c>
      <c r="R80" s="77" t="inlineStr">
        <is>
          <t>-</t>
        </is>
      </c>
      <c r="S80" s="1" t="inlineStr">
        <is>
          <t>-</t>
        </is>
      </c>
    </row>
    <row r="81" hidden="1" s="79">
      <c r="C81" s="20" t="n"/>
      <c r="D81" s="20" t="n"/>
      <c r="E81" s="20" t="n"/>
      <c r="I81" s="59" t="n"/>
      <c r="J81" s="1" t="n"/>
      <c r="K81" s="14" t="n"/>
    </row>
    <row r="82" hidden="1" s="79">
      <c r="C82" s="20" t="n"/>
      <c r="D82" s="20" t="n"/>
      <c r="E82" s="20" t="n"/>
      <c r="I82" s="14" t="n"/>
      <c r="J82" s="12" t="n"/>
      <c r="K82" s="14" t="n"/>
    </row>
    <row r="83" hidden="1" s="79">
      <c r="C83" s="20" t="n"/>
      <c r="D83" s="20" t="n"/>
      <c r="E83" s="20" t="n"/>
      <c r="I83" s="14" t="n"/>
      <c r="J83" s="12" t="n"/>
      <c r="K83" s="14" t="n"/>
    </row>
    <row r="84" hidden="1" s="79">
      <c r="C84" s="20" t="n"/>
      <c r="D84" s="20" t="n"/>
      <c r="E84" s="20" t="n"/>
    </row>
    <row r="85" hidden="1" s="79">
      <c r="C85" s="20" t="n"/>
      <c r="D85" s="20" t="n"/>
      <c r="E85" s="20" t="n"/>
      <c r="K85" s="14" t="n"/>
      <c r="N85" s="76" t="n"/>
    </row>
    <row r="86" hidden="1" s="79">
      <c r="C86" s="20" t="n"/>
      <c r="D86" s="20" t="n"/>
      <c r="E86" s="20" t="n"/>
      <c r="K86" s="14" t="n"/>
    </row>
    <row r="87" hidden="1" s="79">
      <c r="C87" s="20" t="n"/>
      <c r="D87" s="20" t="n"/>
      <c r="E87" s="20" t="n"/>
      <c r="I87" s="59" t="n"/>
      <c r="J87" s="1" t="n"/>
      <c r="K87" s="14" t="n"/>
    </row>
    <row r="88" hidden="1" s="79">
      <c r="C88" s="20" t="n"/>
      <c r="D88" s="20" t="n"/>
      <c r="E88" s="20" t="n"/>
      <c r="I88" s="59" t="n"/>
      <c r="J88" s="1" t="n"/>
      <c r="K88" s="14" t="n"/>
    </row>
    <row r="89" hidden="1" s="79">
      <c r="C89" s="20" t="n"/>
      <c r="D89" s="20" t="n"/>
      <c r="E89" s="20" t="n"/>
      <c r="I89" s="59" t="n"/>
      <c r="J89" s="1" t="n"/>
      <c r="K89" s="14" t="n"/>
    </row>
    <row r="90" hidden="1" s="79">
      <c r="C90" s="20" t="n"/>
      <c r="D90" s="20" t="n"/>
      <c r="E90" s="20" t="n"/>
      <c r="I90" s="59" t="n"/>
      <c r="J90" s="1" t="n"/>
      <c r="K90" s="14" t="n"/>
      <c r="N90" s="76" t="n"/>
    </row>
    <row r="91" hidden="1" s="79">
      <c r="C91" s="20" t="n"/>
      <c r="D91" s="20" t="n"/>
      <c r="E91" s="20" t="n"/>
      <c r="I91" s="59" t="n"/>
      <c r="J91" s="1" t="n"/>
      <c r="K91" s="14" t="n"/>
      <c r="N91" s="76" t="n"/>
    </row>
    <row r="92" hidden="1" s="79">
      <c r="C92" s="20" t="n"/>
      <c r="D92" s="41" t="n"/>
      <c r="E92" s="20" t="n"/>
    </row>
    <row r="93" hidden="1" s="79">
      <c r="C93" s="20" t="n"/>
      <c r="D93" s="20" t="n"/>
      <c r="E93" s="20" t="n"/>
      <c r="I93" s="59" t="n"/>
      <c r="J93" s="1" t="n"/>
      <c r="K93" s="14" t="n"/>
    </row>
    <row r="94" hidden="1" s="79">
      <c r="C94" s="20" t="n"/>
      <c r="D94" s="20" t="n"/>
      <c r="E94" s="20" t="n"/>
      <c r="I94" s="14" t="n"/>
      <c r="J94" s="12" t="n"/>
      <c r="K94" s="14" t="n"/>
    </row>
    <row r="95" hidden="1" s="79">
      <c r="C95" s="20" t="n"/>
      <c r="D95" s="20" t="n"/>
      <c r="E95" s="20" t="n"/>
      <c r="K95" s="14" t="n"/>
      <c r="N95" s="76" t="n"/>
    </row>
    <row r="96" hidden="1" s="79">
      <c r="C96" s="20" t="n"/>
      <c r="D96" s="20" t="n"/>
      <c r="E96" s="20" t="n"/>
      <c r="I96" s="59" t="n"/>
      <c r="J96" s="1" t="n"/>
      <c r="K96" s="14" t="n"/>
    </row>
    <row r="97" hidden="1" s="79">
      <c r="C97" s="20" t="n"/>
      <c r="D97" s="20" t="n"/>
      <c r="E97" s="20" t="n"/>
      <c r="I97" s="59" t="n"/>
      <c r="J97" s="1" t="n"/>
      <c r="K97" s="14" t="n"/>
    </row>
    <row r="98" hidden="1" s="79">
      <c r="C98" s="20" t="n"/>
      <c r="D98" s="20" t="n"/>
      <c r="E98" s="20" t="n"/>
      <c r="I98" s="1" t="n"/>
      <c r="J98" s="1" t="n"/>
      <c r="K98" s="14" t="n"/>
    </row>
    <row r="99" hidden="1" s="79">
      <c r="C99" s="20" t="n"/>
      <c r="D99" s="20" t="n"/>
      <c r="E99" s="20" t="n"/>
      <c r="I99" s="59" t="n"/>
      <c r="J99" s="1" t="n"/>
      <c r="K99" s="14" t="n"/>
      <c r="N99" s="76" t="n"/>
    </row>
    <row r="100" hidden="1" s="79">
      <c r="C100" s="20" t="n"/>
      <c r="D100" s="20" t="n"/>
      <c r="E100" s="20" t="n"/>
      <c r="K100" s="14" t="n"/>
    </row>
    <row r="101" hidden="1" s="79">
      <c r="C101" s="20" t="n"/>
      <c r="D101" s="20" t="n"/>
      <c r="E101" s="20" t="n"/>
    </row>
    <row r="102" hidden="1" s="79">
      <c r="C102" s="20" t="n"/>
      <c r="D102" s="20" t="n"/>
      <c r="E102" s="20" t="n"/>
    </row>
    <row r="103" hidden="1" s="79">
      <c r="C103" s="20" t="n"/>
      <c r="D103" s="20" t="n"/>
      <c r="E103" s="20" t="n"/>
    </row>
    <row r="104" hidden="1" s="79">
      <c r="C104" s="20" t="n"/>
      <c r="D104" s="20" t="n"/>
      <c r="E104" s="20" t="n"/>
    </row>
    <row r="105" hidden="1" s="79">
      <c r="C105" s="20" t="n"/>
      <c r="D105" s="20" t="n"/>
      <c r="E105" s="20" t="n"/>
    </row>
    <row r="106" hidden="1" s="79">
      <c r="C106" s="20" t="n"/>
      <c r="D106" s="20" t="n"/>
      <c r="E106" s="20" t="n"/>
      <c r="I106" s="12" t="n"/>
      <c r="J106" s="12" t="n"/>
    </row>
    <row r="107" hidden="1" s="79">
      <c r="C107" s="20" t="n"/>
      <c r="D107" s="20" t="n"/>
      <c r="E107" s="20" t="n"/>
    </row>
    <row r="108" hidden="1" s="79">
      <c r="C108" s="20" t="n"/>
      <c r="D108" s="20" t="n"/>
      <c r="E108" s="20" t="n"/>
      <c r="I108" s="12" t="n"/>
      <c r="J108" s="12" t="n"/>
      <c r="K108" s="14" t="n"/>
    </row>
    <row r="109" hidden="1" s="79">
      <c r="C109" s="20" t="n"/>
      <c r="D109" s="20" t="n"/>
      <c r="E109" s="20" t="n"/>
      <c r="I109" s="14" t="n"/>
      <c r="J109" s="12" t="n"/>
      <c r="K109" s="14" t="n"/>
    </row>
    <row r="110" hidden="1" s="79">
      <c r="C110" s="20" t="n"/>
      <c r="D110" s="20" t="n"/>
      <c r="E110" s="20" t="n"/>
      <c r="I110" s="14" t="n"/>
      <c r="J110" s="12" t="n"/>
      <c r="K110" s="14" t="n"/>
    </row>
    <row r="111" hidden="1" s="79">
      <c r="C111" s="20" t="n"/>
      <c r="D111" s="20" t="n"/>
      <c r="E111" s="20" t="n"/>
      <c r="I111" s="59" t="n"/>
      <c r="J111" s="1" t="n"/>
      <c r="K111" s="14" t="n"/>
      <c r="N111" s="76" t="n"/>
    </row>
    <row r="112" hidden="1" s="79">
      <c r="C112" s="20" t="n"/>
      <c r="D112" s="20" t="n"/>
      <c r="E112" s="20" t="n"/>
      <c r="I112" s="14" t="n"/>
      <c r="J112" s="12" t="n"/>
      <c r="K112" s="14" t="n"/>
    </row>
    <row r="113" hidden="1" s="79">
      <c r="C113" s="20" t="n"/>
      <c r="D113" s="20" t="n"/>
      <c r="E113" s="20" t="n"/>
      <c r="I113" s="14" t="n"/>
      <c r="J113" s="12" t="n"/>
      <c r="K113" s="14" t="n"/>
    </row>
    <row r="114" hidden="1" s="79">
      <c r="C114" s="20" t="n"/>
      <c r="D114" s="20" t="n"/>
      <c r="E114" s="20" t="n"/>
      <c r="I114" s="14" t="n"/>
      <c r="J114" s="12" t="n"/>
      <c r="K114" s="14" t="n"/>
    </row>
    <row r="115" hidden="1" s="79">
      <c r="C115" s="20" t="n"/>
      <c r="D115" s="20" t="n"/>
      <c r="E115" s="20" t="n"/>
      <c r="I115" s="14" t="n"/>
      <c r="J115" s="12" t="n"/>
      <c r="K115" s="14" t="n"/>
    </row>
    <row r="116" hidden="1" s="79">
      <c r="C116" s="20" t="n"/>
      <c r="D116" s="20" t="n"/>
      <c r="E116" s="20" t="n"/>
      <c r="I116" s="14" t="n"/>
      <c r="J116" s="12" t="n"/>
      <c r="K116" s="14" t="n"/>
    </row>
    <row r="117" hidden="1" s="79">
      <c r="C117" s="20" t="n"/>
      <c r="D117" s="20" t="n"/>
      <c r="E117" s="20" t="n"/>
      <c r="I117" s="14" t="n"/>
      <c r="J117" s="12" t="n"/>
      <c r="K117" s="14" t="n"/>
    </row>
    <row r="118" hidden="1" s="79">
      <c r="C118" s="20" t="n"/>
      <c r="D118" s="20" t="n"/>
      <c r="E118" s="20" t="n"/>
      <c r="I118" s="12" t="n"/>
      <c r="J118" s="12" t="n"/>
      <c r="K118" s="14" t="n"/>
    </row>
    <row r="119" hidden="1" s="79">
      <c r="C119" s="20" t="n"/>
      <c r="D119" s="20" t="n"/>
      <c r="E119" s="20" t="n"/>
      <c r="N119" s="76" t="n"/>
    </row>
    <row r="120" hidden="1" s="79">
      <c r="C120" s="20" t="n"/>
      <c r="D120" s="20" t="n"/>
      <c r="E120" s="20" t="n"/>
      <c r="I120" s="14" t="n"/>
      <c r="J120" s="12" t="n"/>
      <c r="K120" s="14" t="n"/>
    </row>
    <row r="121" hidden="1" s="79">
      <c r="C121" s="20" t="n"/>
      <c r="D121" s="20" t="n"/>
      <c r="E121" s="20" t="n"/>
      <c r="I121" s="14" t="n"/>
      <c r="J121" s="12" t="n"/>
      <c r="K121" s="14" t="n"/>
    </row>
    <row r="122" hidden="1" s="79">
      <c r="C122" s="20" t="n"/>
      <c r="D122" s="20" t="n"/>
      <c r="E122" s="20" t="n"/>
      <c r="I122" s="12" t="n"/>
      <c r="J122" s="12" t="n"/>
      <c r="K122" s="14" t="n"/>
    </row>
    <row r="123" hidden="1" s="79">
      <c r="C123" s="20" t="n"/>
      <c r="D123" s="20" t="n"/>
      <c r="E123" s="20" t="n"/>
      <c r="I123" s="14" t="n"/>
      <c r="J123" s="12" t="n"/>
      <c r="K123" s="40" t="n"/>
    </row>
    <row r="124" hidden="1" s="79">
      <c r="C124" s="20" t="n"/>
      <c r="D124" s="20" t="n"/>
      <c r="E124" s="20" t="n"/>
      <c r="I124" s="14" t="n"/>
      <c r="J124" s="12" t="n"/>
      <c r="K124" s="14" t="n"/>
    </row>
    <row r="125" hidden="1" s="79">
      <c r="C125" s="20" t="n"/>
      <c r="D125" s="20" t="n"/>
      <c r="E125" s="20" t="n"/>
    </row>
    <row r="126" hidden="1" s="79">
      <c r="C126" s="20" t="n"/>
      <c r="D126" s="20" t="n"/>
      <c r="E126" s="20" t="n"/>
      <c r="F126" s="55" t="n"/>
      <c r="I126" s="14" t="n"/>
      <c r="J126" s="12" t="n"/>
      <c r="K126" s="14" t="n"/>
    </row>
    <row r="127" hidden="1" s="79">
      <c r="C127" s="20" t="n"/>
      <c r="D127" s="20" t="n"/>
      <c r="E127" s="20" t="n"/>
      <c r="I127" s="14" t="n"/>
      <c r="J127" s="12" t="n"/>
      <c r="K127" s="14" t="n"/>
    </row>
    <row r="128" hidden="1" s="79">
      <c r="C128" s="20" t="n"/>
      <c r="D128" s="20" t="n"/>
      <c r="E128" s="20" t="n"/>
      <c r="I128" s="59" t="n"/>
      <c r="J128" s="1" t="n"/>
      <c r="K128" s="14" t="n"/>
    </row>
    <row r="129" hidden="1" s="79">
      <c r="C129" s="20" t="n"/>
      <c r="D129" s="20" t="n"/>
      <c r="E129" s="20" t="n"/>
      <c r="I129" s="14" t="n"/>
      <c r="J129" s="12" t="n"/>
      <c r="K129" s="14" t="n"/>
    </row>
    <row r="130" hidden="1" s="79">
      <c r="C130" s="20" t="n"/>
      <c r="D130" s="20" t="n"/>
      <c r="E130" s="20" t="n"/>
      <c r="I130" s="14" t="n"/>
      <c r="J130" s="12" t="n"/>
      <c r="K130" s="14" t="n"/>
    </row>
    <row r="131" hidden="1" s="79">
      <c r="C131" s="20" t="n"/>
      <c r="D131" s="20" t="n"/>
      <c r="E131" s="20" t="n"/>
      <c r="I131" s="14" t="n"/>
      <c r="J131" s="12" t="n"/>
      <c r="K131" s="14" t="n"/>
    </row>
    <row r="132" hidden="1" s="79">
      <c r="C132" s="20" t="n"/>
      <c r="D132" s="20" t="n"/>
      <c r="E132" s="20" t="n"/>
      <c r="I132" s="14" t="n"/>
      <c r="J132" s="12" t="n"/>
      <c r="K132" s="14" t="n"/>
    </row>
    <row r="133" hidden="1" s="79">
      <c r="C133" s="20" t="n"/>
      <c r="D133" s="20" t="n"/>
      <c r="E133" s="20" t="n"/>
      <c r="K133" s="14" t="n"/>
      <c r="N133" s="76" t="n"/>
    </row>
    <row r="134" hidden="1" s="79">
      <c r="C134" s="20" t="n"/>
      <c r="D134" s="20" t="n"/>
      <c r="E134" s="20" t="n"/>
      <c r="I134" s="14" t="n"/>
      <c r="J134" s="12" t="n"/>
      <c r="K134" s="14" t="n"/>
    </row>
    <row r="135" hidden="1" s="79">
      <c r="C135" s="20" t="n"/>
      <c r="D135" s="20" t="n"/>
      <c r="E135" s="20" t="n"/>
      <c r="I135" s="14" t="n"/>
      <c r="J135" s="12" t="n"/>
      <c r="K135" s="14" t="n"/>
    </row>
    <row r="136" hidden="1" s="79">
      <c r="C136" s="20" t="n"/>
      <c r="D136" s="20" t="n"/>
      <c r="E136" s="20" t="n"/>
      <c r="I136" s="14" t="n"/>
      <c r="J136" s="12" t="n"/>
      <c r="K136" s="14" t="n"/>
    </row>
    <row r="137" hidden="1" s="79">
      <c r="C137" s="20" t="n"/>
      <c r="D137" s="20" t="n"/>
      <c r="E137" s="20" t="n"/>
    </row>
    <row r="138" hidden="1" s="79">
      <c r="C138" s="20" t="n"/>
      <c r="D138" s="20" t="n"/>
      <c r="E138" s="20" t="n"/>
      <c r="I138" s="12" t="n"/>
      <c r="J138" s="12" t="n"/>
      <c r="K138" s="14" t="n"/>
    </row>
    <row r="139" hidden="1" s="79">
      <c r="C139" s="20" t="n"/>
      <c r="D139" s="20" t="n"/>
      <c r="E139" s="20" t="n"/>
      <c r="I139" s="12" t="n"/>
      <c r="J139" s="12" t="n"/>
    </row>
    <row r="140" hidden="1" s="79">
      <c r="C140" s="20" t="n"/>
      <c r="D140" s="20" t="n"/>
      <c r="E140" s="20" t="n"/>
      <c r="I140" s="14" t="n"/>
      <c r="J140" s="12" t="n"/>
      <c r="K140" s="14" t="n"/>
    </row>
    <row r="141" hidden="1" s="79">
      <c r="C141" s="20" t="n"/>
      <c r="D141" s="20" t="n"/>
      <c r="E141" s="20" t="n"/>
      <c r="I141" s="14" t="n"/>
      <c r="J141" s="12" t="n"/>
      <c r="K141" s="14" t="n"/>
    </row>
    <row r="142" hidden="1" s="79">
      <c r="C142" s="20" t="n"/>
      <c r="D142" s="20" t="n"/>
      <c r="E142" s="20" t="n"/>
      <c r="I142" s="12" t="n"/>
      <c r="J142" s="12" t="n"/>
      <c r="K142" s="14" t="n"/>
    </row>
    <row r="143" hidden="1" s="79">
      <c r="C143" s="20" t="n"/>
      <c r="D143" s="20" t="n"/>
      <c r="E143" s="20" t="n"/>
      <c r="I143" s="14" t="n"/>
      <c r="J143" s="12" t="n"/>
      <c r="K143" s="14" t="n"/>
    </row>
    <row r="144" hidden="1" s="79">
      <c r="C144" s="20" t="n"/>
      <c r="D144" s="20" t="n"/>
      <c r="E144" s="20" t="n"/>
      <c r="I144" s="14" t="n"/>
      <c r="J144" s="12" t="n"/>
      <c r="K144" s="14" t="n"/>
    </row>
    <row r="145" hidden="1" s="79">
      <c r="C145" s="20" t="n"/>
      <c r="D145" s="20" t="n"/>
      <c r="E145" s="20" t="n"/>
      <c r="I145" s="14" t="n"/>
      <c r="J145" s="12" t="n"/>
      <c r="K145" s="14" t="n"/>
    </row>
    <row r="146" hidden="1" s="79">
      <c r="C146" s="20" t="n"/>
      <c r="D146" s="20" t="n"/>
      <c r="E146" s="20" t="n"/>
      <c r="I146" s="12" t="n"/>
      <c r="J146" s="12" t="n"/>
    </row>
    <row r="147" hidden="1" s="79">
      <c r="C147" s="20" t="n"/>
      <c r="D147" s="20" t="n"/>
      <c r="E147" s="20" t="n"/>
    </row>
    <row r="148" hidden="1" s="79">
      <c r="C148" s="20" t="n"/>
      <c r="D148" s="20" t="n"/>
      <c r="E148" s="20" t="n"/>
      <c r="I148" s="14" t="n"/>
      <c r="J148" s="12" t="n"/>
      <c r="K148" s="14" t="n"/>
      <c r="N148" s="76" t="n"/>
    </row>
    <row r="149" hidden="1" s="79">
      <c r="C149" s="20" t="n"/>
      <c r="D149" s="20" t="n"/>
      <c r="E149" s="20" t="n"/>
      <c r="I149" s="14" t="n"/>
      <c r="J149" s="12" t="n"/>
      <c r="K149" s="14" t="n"/>
    </row>
    <row r="150" hidden="1" s="79">
      <c r="C150" s="20" t="n"/>
      <c r="D150" s="20" t="n"/>
      <c r="E150" s="20" t="n"/>
      <c r="I150" s="14" t="n"/>
      <c r="J150" s="12" t="n"/>
      <c r="K150" s="14" t="n"/>
    </row>
    <row r="151" hidden="1" s="79">
      <c r="C151" s="20" t="n"/>
      <c r="D151" s="20" t="n"/>
      <c r="E151" s="20" t="n"/>
      <c r="I151" s="14" t="n"/>
      <c r="J151" s="12" t="n"/>
      <c r="K151" s="14" t="n"/>
    </row>
    <row r="152" hidden="1" s="79">
      <c r="C152" s="20" t="n"/>
      <c r="D152" s="20" t="n"/>
      <c r="E152" s="20" t="n"/>
      <c r="I152" s="14" t="n"/>
      <c r="J152" s="12" t="n"/>
      <c r="K152" s="14" t="n"/>
    </row>
    <row r="153" hidden="1" s="79">
      <c r="C153" s="20" t="n"/>
      <c r="D153" s="20" t="n"/>
      <c r="E153" s="20" t="n"/>
      <c r="I153" s="14" t="n"/>
      <c r="J153" s="12" t="n"/>
      <c r="K153" s="14" t="n"/>
    </row>
    <row r="154" hidden="1" s="79">
      <c r="C154" s="20" t="n"/>
      <c r="D154" s="20" t="n"/>
      <c r="E154" s="20" t="n"/>
    </row>
    <row r="155" hidden="1" s="79">
      <c r="C155" s="20" t="n"/>
      <c r="D155" s="20" t="n"/>
      <c r="E155" s="20" t="n"/>
      <c r="K155" s="14" t="n"/>
    </row>
    <row r="156" hidden="1" s="79">
      <c r="C156" s="20" t="n"/>
      <c r="D156" s="20" t="n"/>
      <c r="E156" s="20" t="n"/>
      <c r="I156" s="14" t="n"/>
      <c r="J156" s="12" t="n"/>
      <c r="K156" s="14" t="n"/>
    </row>
    <row r="157" hidden="1" s="79">
      <c r="C157" s="20" t="n"/>
      <c r="D157" s="20" t="n"/>
      <c r="E157" s="20" t="n"/>
      <c r="I157" s="14" t="n"/>
      <c r="J157" s="12" t="n"/>
      <c r="K157" s="14" t="n"/>
    </row>
    <row r="158" hidden="1" s="79">
      <c r="C158" s="20" t="n"/>
      <c r="D158" s="20" t="n"/>
      <c r="E158" s="20" t="n"/>
      <c r="I158" s="14" t="n"/>
      <c r="J158" s="12" t="n"/>
      <c r="K158" s="14" t="n"/>
    </row>
    <row r="159" hidden="1" s="79">
      <c r="C159" s="20" t="n"/>
      <c r="D159" s="20" t="n"/>
      <c r="E159" s="20" t="n"/>
      <c r="I159" s="14" t="n"/>
      <c r="J159" s="12" t="n"/>
      <c r="K159" s="14" t="n"/>
    </row>
    <row r="160" hidden="1" s="79">
      <c r="C160" s="20" t="n"/>
      <c r="D160" s="20" t="n"/>
      <c r="E160" s="20" t="n"/>
      <c r="I160" s="14" t="n"/>
      <c r="J160" s="12" t="n"/>
      <c r="K160" s="14" t="n"/>
    </row>
    <row r="161" hidden="1" s="79">
      <c r="C161" s="20" t="n"/>
      <c r="D161" s="20" t="n"/>
      <c r="E161" s="20" t="n"/>
      <c r="I161" s="14" t="n"/>
      <c r="J161" s="12" t="n"/>
      <c r="K161" s="14" t="n"/>
      <c r="N161" s="76" t="n"/>
    </row>
    <row r="162" hidden="1" s="79">
      <c r="C162" s="20" t="n"/>
      <c r="D162" s="20" t="n"/>
      <c r="E162" s="20" t="n"/>
      <c r="I162" s="14" t="n"/>
      <c r="J162" s="12" t="n"/>
      <c r="K162" s="14" t="n"/>
    </row>
    <row r="163" hidden="1" s="79">
      <c r="C163" s="20" t="n"/>
      <c r="D163" s="20" t="n"/>
      <c r="E163" s="20" t="n"/>
      <c r="I163" s="14" t="n"/>
      <c r="J163" s="12" t="n"/>
      <c r="K163" s="14" t="n"/>
    </row>
    <row r="164" hidden="1" s="79">
      <c r="C164" s="20" t="n"/>
      <c r="D164" s="20" t="n"/>
      <c r="E164" s="20" t="n"/>
      <c r="I164" s="14" t="n"/>
      <c r="J164" s="12" t="n"/>
      <c r="K164" s="14" t="n"/>
    </row>
    <row r="165" hidden="1" s="79">
      <c r="C165" s="20" t="n"/>
      <c r="D165" s="20" t="n"/>
      <c r="E165" s="20" t="n"/>
      <c r="K165" s="14" t="n"/>
    </row>
    <row r="166" hidden="1" s="79">
      <c r="C166" s="20" t="n"/>
      <c r="D166" s="20" t="n"/>
      <c r="E166" s="20" t="n"/>
      <c r="I166" s="14" t="n"/>
      <c r="J166" s="12" t="n"/>
      <c r="K166" s="14" t="n"/>
    </row>
    <row r="167" hidden="1" s="79">
      <c r="C167" s="20" t="n"/>
      <c r="D167" s="20" t="n"/>
      <c r="E167" s="20" t="n"/>
      <c r="K167" s="14" t="n"/>
    </row>
    <row r="168" hidden="1" s="79">
      <c r="C168" s="20" t="n"/>
      <c r="D168" s="20" t="n"/>
      <c r="E168" s="20" t="n"/>
      <c r="I168" s="14" t="n"/>
      <c r="J168" s="12" t="n"/>
      <c r="K168" s="14" t="n"/>
    </row>
    <row r="169" hidden="1" s="79">
      <c r="C169" s="20" t="n"/>
      <c r="D169" s="20" t="n"/>
      <c r="E169" s="20" t="n"/>
      <c r="K169" s="14" t="n"/>
    </row>
    <row r="170" hidden="1" s="79">
      <c r="C170" s="20" t="n"/>
      <c r="D170" s="20" t="n"/>
      <c r="E170" s="20" t="n"/>
      <c r="I170" s="14" t="n"/>
      <c r="J170" s="12" t="n"/>
      <c r="K170" s="14" t="n"/>
    </row>
    <row r="171" hidden="1" s="79">
      <c r="C171" s="20" t="n"/>
      <c r="D171" s="20" t="n"/>
      <c r="E171" s="20" t="n"/>
      <c r="I171" s="14" t="n"/>
      <c r="J171" s="12" t="n"/>
      <c r="K171" s="14" t="n"/>
    </row>
    <row r="172" hidden="1" s="79">
      <c r="C172" s="20" t="n"/>
      <c r="D172" s="20" t="n"/>
      <c r="E172" s="20" t="n"/>
      <c r="I172" s="14" t="n"/>
      <c r="J172" s="12" t="n"/>
      <c r="K172" s="14" t="n"/>
    </row>
    <row r="173" hidden="1" s="79">
      <c r="C173" s="20" t="n"/>
      <c r="D173" s="20" t="n"/>
      <c r="E173" s="20" t="n"/>
      <c r="I173" s="14" t="n"/>
      <c r="J173" s="12" t="n"/>
      <c r="K173" s="14" t="n"/>
    </row>
    <row r="174" hidden="1" s="79">
      <c r="C174" s="20" t="n"/>
      <c r="D174" s="20" t="n"/>
      <c r="E174" s="20" t="n"/>
      <c r="I174" s="14" t="n"/>
      <c r="J174" s="12" t="n"/>
      <c r="K174" s="14" t="n"/>
    </row>
    <row r="175" hidden="1" s="79">
      <c r="C175" s="20" t="n"/>
      <c r="D175" s="20" t="n"/>
      <c r="E175" s="20" t="n"/>
      <c r="I175" s="14" t="n"/>
      <c r="J175" s="12" t="n"/>
      <c r="K175" s="14" t="n"/>
    </row>
    <row r="176" hidden="1" s="79">
      <c r="C176" s="20" t="n"/>
      <c r="D176" s="20" t="n"/>
      <c r="E176" s="20" t="n"/>
      <c r="I176" s="14" t="n"/>
      <c r="J176" s="12" t="n"/>
      <c r="K176" s="14" t="n"/>
    </row>
    <row r="177" hidden="1" s="79">
      <c r="C177" s="20" t="n"/>
      <c r="D177" s="20" t="n"/>
      <c r="E177" s="20" t="n"/>
      <c r="I177" s="14" t="n"/>
      <c r="J177" s="12" t="n"/>
      <c r="K177" s="14" t="n"/>
      <c r="N177" s="76" t="n"/>
    </row>
    <row r="178" hidden="1" s="79">
      <c r="C178" s="20" t="n"/>
      <c r="D178" s="20" t="n"/>
      <c r="E178" s="20" t="n"/>
      <c r="I178" s="14" t="n"/>
      <c r="J178" s="12" t="n"/>
      <c r="K178" s="14" t="n"/>
    </row>
    <row r="179" hidden="1" s="79">
      <c r="C179" s="20" t="n"/>
      <c r="D179" s="20" t="n"/>
      <c r="E179" s="20" t="n"/>
      <c r="K179" s="14" t="n"/>
    </row>
    <row r="180" hidden="1" s="79">
      <c r="C180" s="20" t="n"/>
      <c r="D180" s="20" t="n"/>
      <c r="E180" s="20" t="n"/>
      <c r="I180" s="14" t="n"/>
      <c r="J180" s="12" t="n"/>
      <c r="K180" s="14" t="n"/>
    </row>
    <row r="181" hidden="1" s="79">
      <c r="C181" s="20" t="n"/>
      <c r="D181" s="20" t="n"/>
      <c r="E181" s="20" t="n"/>
      <c r="K181" s="14" t="n"/>
    </row>
    <row r="182" hidden="1" s="79">
      <c r="C182" s="20" t="n"/>
      <c r="D182" s="20" t="n"/>
      <c r="E182" s="20" t="n"/>
      <c r="K182" s="14" t="n"/>
    </row>
    <row r="183" hidden="1" s="79">
      <c r="C183" s="20" t="n"/>
      <c r="D183" s="20" t="n"/>
      <c r="E183" s="20" t="n"/>
      <c r="I183" s="14" t="n"/>
      <c r="J183" s="12" t="n"/>
      <c r="K183" s="14" t="n"/>
    </row>
    <row r="184" hidden="1" s="79">
      <c r="C184" s="20" t="n"/>
      <c r="D184" s="20" t="n"/>
      <c r="E184" s="20" t="n"/>
      <c r="I184" s="14" t="n"/>
      <c r="J184" s="12" t="n"/>
      <c r="K184" s="14" t="n"/>
    </row>
    <row r="185" hidden="1" s="79">
      <c r="C185" s="20" t="n"/>
      <c r="D185" s="20" t="n"/>
      <c r="E185" s="20" t="n"/>
      <c r="I185" s="14" t="n"/>
      <c r="J185" s="12" t="n"/>
      <c r="K185" s="14" t="n"/>
    </row>
    <row r="186" hidden="1" s="79">
      <c r="C186" s="20" t="n"/>
      <c r="D186" s="20" t="n"/>
      <c r="E186" s="20" t="n"/>
      <c r="I186" s="14" t="n"/>
      <c r="J186" s="12" t="n"/>
      <c r="K186" s="14" t="n"/>
    </row>
    <row r="187" hidden="1" s="79">
      <c r="C187" s="20" t="n"/>
      <c r="D187" s="20" t="n"/>
      <c r="E187" s="20" t="n"/>
    </row>
    <row r="188" hidden="1" s="79">
      <c r="C188" s="20" t="n"/>
      <c r="D188" s="20" t="n"/>
      <c r="E188" s="20" t="n"/>
      <c r="I188" s="14" t="n"/>
      <c r="J188" s="12" t="n"/>
      <c r="K188" s="14" t="n"/>
    </row>
    <row r="189" hidden="1" s="79">
      <c r="C189" s="20" t="n"/>
      <c r="D189" s="20" t="n"/>
      <c r="E189" s="20" t="n"/>
      <c r="I189" s="14" t="n"/>
      <c r="J189" s="12" t="n"/>
      <c r="K189" s="14" t="n"/>
    </row>
    <row r="190" hidden="1" s="79">
      <c r="C190" s="20" t="n"/>
      <c r="D190" s="20" t="n"/>
      <c r="E190" s="20" t="n"/>
    </row>
    <row r="191" hidden="1" s="79">
      <c r="C191" s="20" t="n"/>
      <c r="D191" s="20" t="n"/>
      <c r="E191" s="20" t="n"/>
      <c r="I191" s="14" t="n"/>
      <c r="J191" s="12" t="n"/>
      <c r="N191" s="76" t="n"/>
    </row>
    <row r="192" hidden="1" s="79">
      <c r="C192" s="20" t="n"/>
      <c r="D192" s="20" t="n"/>
      <c r="E192" s="20" t="n"/>
    </row>
    <row r="193" hidden="1" s="79">
      <c r="C193" s="20" t="n"/>
      <c r="D193" s="20" t="n"/>
      <c r="E193" s="20" t="n"/>
      <c r="I193" s="14" t="n"/>
      <c r="J193" s="12" t="n"/>
      <c r="K193" s="14" t="n"/>
    </row>
    <row r="194" hidden="1" s="79">
      <c r="C194" s="20" t="n"/>
      <c r="D194" s="20" t="n"/>
      <c r="E194" s="20" t="n"/>
      <c r="I194" s="14" t="n"/>
      <c r="J194" s="12" t="n"/>
      <c r="K194" s="14" t="n"/>
    </row>
    <row r="195" hidden="1" s="79">
      <c r="C195" s="20" t="n"/>
      <c r="D195" s="20" t="n"/>
      <c r="E195" s="20" t="n"/>
      <c r="I195" s="14" t="n"/>
      <c r="J195" s="12" t="n"/>
      <c r="K195" s="14" t="n"/>
      <c r="N195" s="76" t="n"/>
    </row>
    <row r="196" hidden="1" s="79">
      <c r="C196" s="20" t="n"/>
      <c r="D196" s="20" t="n"/>
      <c r="E196" s="20" t="n"/>
    </row>
    <row r="197" hidden="1" s="79">
      <c r="C197" s="20" t="n"/>
      <c r="D197" s="20" t="n"/>
      <c r="E197" s="20" t="n"/>
    </row>
    <row r="198" hidden="1" s="79">
      <c r="C198" s="20" t="n"/>
      <c r="D198" s="20" t="n"/>
      <c r="E198" s="20" t="n"/>
      <c r="N198" s="76" t="n"/>
    </row>
    <row r="199" hidden="1" s="79">
      <c r="C199" s="20" t="n"/>
      <c r="D199" s="20" t="n"/>
      <c r="E199" s="20" t="n"/>
      <c r="I199" s="14" t="n"/>
      <c r="J199" s="12" t="n"/>
      <c r="K199" s="14" t="n"/>
    </row>
    <row r="200" hidden="1" s="79">
      <c r="C200" s="20" t="n"/>
      <c r="D200" s="20" t="n"/>
      <c r="E200" s="20" t="n"/>
      <c r="K200" s="14" t="n"/>
    </row>
    <row r="201" hidden="1" s="79">
      <c r="C201" s="20" t="n"/>
      <c r="D201" s="20" t="n"/>
      <c r="E201" s="20" t="n"/>
      <c r="I201" s="14" t="n"/>
      <c r="J201" s="12" t="n"/>
      <c r="K201" s="14" t="n"/>
    </row>
    <row r="202" hidden="1" s="79">
      <c r="C202" s="20" t="n"/>
      <c r="D202" s="20" t="n"/>
      <c r="E202" s="20" t="n"/>
      <c r="I202" s="12" t="n"/>
      <c r="J202" s="12" t="n"/>
      <c r="K202" s="14" t="n"/>
    </row>
    <row r="203" hidden="1" s="79">
      <c r="C203" s="20" t="n"/>
      <c r="D203" s="20" t="n"/>
      <c r="E203" s="20" t="n"/>
      <c r="I203" s="14" t="n"/>
      <c r="J203" s="12" t="n"/>
      <c r="K203" s="14" t="n"/>
    </row>
    <row r="204" hidden="1" s="79">
      <c r="C204" s="20" t="n"/>
      <c r="D204" s="20" t="n"/>
      <c r="E204" s="20" t="n"/>
    </row>
    <row r="205" hidden="1" s="79">
      <c r="C205" s="20" t="n"/>
      <c r="D205" s="20" t="n"/>
      <c r="E205" s="20" t="n"/>
    </row>
    <row r="206" hidden="1" s="79">
      <c r="C206" s="20" t="n"/>
      <c r="D206" s="20" t="n"/>
      <c r="E206" s="20" t="n"/>
      <c r="K206" s="14" t="n"/>
    </row>
    <row r="207" hidden="1" s="79">
      <c r="C207" s="20" t="n"/>
      <c r="D207" s="20" t="n"/>
      <c r="E207" s="20" t="n"/>
    </row>
    <row r="208" hidden="1" s="79">
      <c r="C208" s="20" t="n"/>
      <c r="D208" s="20" t="n"/>
      <c r="E208" s="20" t="n"/>
    </row>
    <row r="209" hidden="1" s="79">
      <c r="C209" s="20" t="n"/>
      <c r="D209" s="20" t="n"/>
      <c r="E209" s="20" t="n"/>
    </row>
    <row r="210" hidden="1" s="79">
      <c r="C210" s="20" t="n"/>
      <c r="D210" s="20" t="n"/>
      <c r="E210" s="20" t="n"/>
    </row>
    <row r="211" hidden="1" s="79">
      <c r="C211" s="20" t="n"/>
      <c r="D211" s="20" t="n"/>
      <c r="E211" s="20" t="n"/>
      <c r="I211" s="14" t="n"/>
      <c r="J211" s="12" t="n"/>
      <c r="K211" s="14" t="n"/>
    </row>
    <row r="212" hidden="1" s="79">
      <c r="C212" s="20" t="n"/>
      <c r="D212" s="20" t="n"/>
      <c r="E212" s="20" t="n"/>
    </row>
    <row r="213" hidden="1" s="79">
      <c r="C213" s="20" t="n"/>
      <c r="D213" s="20" t="n"/>
      <c r="E213" s="20" t="n"/>
      <c r="N213" s="76" t="n"/>
    </row>
    <row r="214" hidden="1" s="79">
      <c r="C214" s="20" t="n"/>
      <c r="D214" s="20" t="n"/>
      <c r="E214" s="20" t="n"/>
    </row>
    <row r="215" hidden="1" s="79">
      <c r="C215" s="20" t="n"/>
      <c r="D215" s="20" t="n"/>
      <c r="E215" s="20" t="n"/>
    </row>
    <row r="216" hidden="1" s="79">
      <c r="C216" s="20" t="n"/>
      <c r="D216" s="20" t="n"/>
      <c r="E216" s="20" t="n"/>
    </row>
    <row r="217" hidden="1" s="79">
      <c r="C217" s="20" t="n"/>
      <c r="D217" s="20" t="n"/>
      <c r="E217" s="20" t="n"/>
      <c r="I217" s="14" t="n"/>
      <c r="J217" s="12" t="n"/>
      <c r="K217" s="14" t="n"/>
      <c r="N217" s="78" t="n"/>
    </row>
    <row r="218" hidden="1" s="79">
      <c r="C218" s="20" t="n"/>
      <c r="D218" s="20" t="n"/>
      <c r="E218" s="20" t="n"/>
    </row>
    <row r="219" hidden="1" s="79">
      <c r="C219" s="20" t="n"/>
      <c r="D219" s="20" t="n"/>
      <c r="E219" s="20" t="n"/>
      <c r="I219" s="14" t="n"/>
      <c r="J219" s="12" t="n"/>
      <c r="K219" s="14" t="n"/>
    </row>
    <row r="220" hidden="1" s="79">
      <c r="C220" s="20" t="n"/>
      <c r="D220" s="20" t="n"/>
      <c r="E220" s="20" t="n"/>
    </row>
    <row r="221" hidden="1" s="79">
      <c r="C221" s="20" t="n"/>
      <c r="D221" s="20" t="n"/>
      <c r="E221" s="20" t="n"/>
    </row>
    <row r="222" hidden="1" s="79">
      <c r="C222" s="20" t="n"/>
      <c r="D222" s="20" t="n"/>
      <c r="E222" s="20" t="n"/>
    </row>
    <row r="223" hidden="1" s="79">
      <c r="C223" s="20" t="n"/>
      <c r="D223" s="20" t="n"/>
      <c r="E223" s="20" t="n"/>
    </row>
    <row r="224" hidden="1" s="79">
      <c r="C224" s="20" t="n"/>
      <c r="D224" s="20" t="n"/>
      <c r="E224" s="20" t="n"/>
    </row>
    <row r="225" hidden="1" s="79">
      <c r="C225" s="20" t="n"/>
      <c r="D225" s="20" t="n"/>
      <c r="E225" s="20" t="n"/>
      <c r="N225" s="76" t="n"/>
    </row>
    <row r="226" hidden="1" s="79">
      <c r="C226" s="20" t="n"/>
      <c r="D226" s="20" t="n"/>
      <c r="E226" s="20" t="n"/>
      <c r="N226" s="76" t="n"/>
    </row>
    <row r="227" hidden="1" s="79">
      <c r="C227" s="20" t="n"/>
      <c r="D227" s="20" t="n"/>
      <c r="E227" s="20" t="n"/>
    </row>
    <row r="228" hidden="1" s="79">
      <c r="C228" s="20" t="n"/>
      <c r="D228" s="20" t="n"/>
      <c r="E228" s="20" t="n"/>
    </row>
    <row r="229" hidden="1" s="79">
      <c r="C229" s="20" t="n"/>
      <c r="D229" s="20" t="n"/>
      <c r="E229" s="20" t="n"/>
    </row>
    <row r="230" hidden="1" s="79">
      <c r="C230" s="20" t="n"/>
      <c r="D230" s="20" t="n"/>
      <c r="E230" s="20" t="n"/>
    </row>
    <row r="231" hidden="1" s="79">
      <c r="C231" s="20" t="n"/>
      <c r="D231" s="20" t="n"/>
      <c r="E231" s="20" t="n"/>
    </row>
    <row r="232" hidden="1" s="79">
      <c r="C232" s="20" t="n"/>
      <c r="D232" s="20" t="n"/>
      <c r="E232" s="20" t="n"/>
      <c r="N232" s="76" t="n"/>
    </row>
    <row r="233" hidden="1" s="79">
      <c r="C233" s="20" t="n"/>
      <c r="D233" s="20" t="n"/>
      <c r="E233" s="20" t="n"/>
    </row>
    <row r="234" hidden="1" s="79">
      <c r="C234" s="20" t="n"/>
      <c r="D234" s="20" t="n"/>
      <c r="E234" s="20" t="n"/>
    </row>
    <row r="235" hidden="1" s="79">
      <c r="C235" s="20" t="n"/>
      <c r="D235" s="20" t="n"/>
      <c r="E235" s="20" t="n"/>
      <c r="I235" s="14" t="n"/>
      <c r="J235" s="12" t="n"/>
      <c r="K235" s="14" t="n"/>
    </row>
    <row r="236" hidden="1" s="79">
      <c r="C236" s="20" t="n"/>
      <c r="D236" s="20" t="n"/>
      <c r="E236" s="20" t="n"/>
    </row>
    <row r="237" hidden="1" s="79">
      <c r="C237" s="20" t="n"/>
      <c r="D237" s="20" t="n"/>
      <c r="E237" s="20" t="n"/>
    </row>
    <row r="238" hidden="1" s="79">
      <c r="C238" s="20" t="n"/>
      <c r="D238" s="20" t="n"/>
      <c r="E238" s="20" t="n"/>
      <c r="N238" s="76" t="n"/>
    </row>
    <row r="239" hidden="1" s="79">
      <c r="C239" s="20" t="n"/>
      <c r="D239" s="20" t="n"/>
      <c r="E239" s="20" t="n"/>
    </row>
    <row r="240" hidden="1" s="79">
      <c r="C240" s="20" t="n"/>
      <c r="D240" s="20" t="n"/>
      <c r="E240" s="20" t="n"/>
    </row>
    <row r="241" hidden="1" s="79">
      <c r="C241" s="20" t="n"/>
      <c r="D241" s="20" t="n"/>
      <c r="E241" s="20" t="n"/>
    </row>
    <row r="242" hidden="1" s="79">
      <c r="C242" s="20" t="n"/>
      <c r="D242" s="20" t="n"/>
      <c r="E242" s="20" t="n"/>
    </row>
    <row r="243" hidden="1" s="79">
      <c r="C243" s="20" t="n"/>
      <c r="D243" s="20" t="n"/>
      <c r="E243" s="20" t="n"/>
    </row>
    <row r="244" hidden="1" s="79">
      <c r="C244" s="20" t="n"/>
      <c r="D244" s="20" t="n"/>
      <c r="E244" s="20" t="n"/>
    </row>
    <row r="245" hidden="1" s="79">
      <c r="C245" s="20" t="n"/>
      <c r="D245" s="20" t="n"/>
      <c r="E245" s="20" t="n"/>
    </row>
    <row r="246" hidden="1" s="79">
      <c r="C246" s="20" t="n"/>
      <c r="D246" s="20" t="n"/>
      <c r="E246" s="20" t="n"/>
    </row>
    <row r="247" hidden="1" s="79">
      <c r="C247" s="20" t="n"/>
      <c r="D247" s="20" t="n"/>
      <c r="E247" s="20" t="n"/>
    </row>
    <row r="248" hidden="1" s="79">
      <c r="C248" s="20" t="n"/>
      <c r="D248" s="20" t="n"/>
      <c r="E248" s="20" t="n"/>
    </row>
    <row r="249" hidden="1" s="79">
      <c r="C249" s="20" t="n"/>
      <c r="D249" s="20" t="n"/>
      <c r="E249" s="20" t="n"/>
    </row>
    <row r="250" hidden="1" s="79">
      <c r="C250" s="20" t="n"/>
      <c r="D250" s="20" t="n"/>
      <c r="E250" s="20" t="n"/>
    </row>
    <row r="251" hidden="1" s="79">
      <c r="C251" s="20" t="n"/>
      <c r="D251" s="20" t="n"/>
      <c r="E251" s="20" t="n"/>
    </row>
    <row r="252" hidden="1" s="79">
      <c r="C252" s="20" t="n"/>
      <c r="D252" s="20" t="n"/>
      <c r="E252" s="20" t="n"/>
    </row>
    <row r="253" hidden="1" s="79">
      <c r="C253" s="20" t="n"/>
      <c r="D253" s="20" t="n"/>
      <c r="E253" s="20" t="n"/>
    </row>
    <row r="254" hidden="1" s="79">
      <c r="C254" s="20" t="n"/>
      <c r="D254" s="20" t="n"/>
      <c r="E254" s="20" t="n"/>
    </row>
    <row r="255" hidden="1" s="79">
      <c r="C255" s="20" t="n"/>
      <c r="D255" s="20" t="n"/>
      <c r="E255" s="20" t="n"/>
      <c r="N255" s="76" t="n"/>
    </row>
    <row r="256" hidden="1" s="79">
      <c r="C256" s="20" t="n"/>
      <c r="D256" s="20" t="n"/>
      <c r="E256" s="20" t="n"/>
      <c r="N256" s="76" t="n"/>
    </row>
    <row r="257" hidden="1" s="79">
      <c r="C257" s="20" t="n"/>
      <c r="D257" s="20" t="n"/>
      <c r="E257" s="20" t="n"/>
    </row>
    <row r="258" hidden="1" s="79">
      <c r="C258" s="20" t="n"/>
      <c r="D258" s="20" t="n"/>
      <c r="E258" s="20" t="n"/>
      <c r="N258" s="76" t="n"/>
    </row>
    <row r="259" hidden="1" s="79">
      <c r="C259" s="20" t="n"/>
      <c r="D259" s="20" t="n"/>
      <c r="E259" s="20" t="n"/>
    </row>
    <row r="260" hidden="1" s="79">
      <c r="C260" s="20" t="n"/>
      <c r="D260" s="20" t="n"/>
      <c r="E260" s="20" t="n"/>
    </row>
    <row r="261" hidden="1" s="79">
      <c r="C261" s="20" t="n"/>
      <c r="D261" s="20" t="n"/>
      <c r="E261" s="20" t="n"/>
    </row>
    <row r="262" hidden="1" s="79">
      <c r="C262" s="20" t="n"/>
      <c r="D262" s="20" t="n"/>
      <c r="E262" s="20" t="n"/>
    </row>
    <row r="263" hidden="1" s="79">
      <c r="C263" s="20" t="n"/>
      <c r="D263" s="20" t="n"/>
      <c r="E263" s="20" t="n"/>
    </row>
    <row r="264" hidden="1" s="79">
      <c r="C264" s="20" t="n"/>
      <c r="D264" s="20" t="n"/>
      <c r="E264" s="20" t="n"/>
      <c r="N264" s="76" t="n"/>
    </row>
    <row r="265" hidden="1" s="79">
      <c r="C265" s="20" t="n"/>
      <c r="D265" s="20" t="n"/>
      <c r="E265" s="20" t="n"/>
    </row>
    <row r="266" hidden="1" s="79">
      <c r="C266" s="20" t="n"/>
      <c r="D266" s="20" t="n"/>
      <c r="E266" s="20" t="n"/>
    </row>
    <row r="267" hidden="1" s="79">
      <c r="C267" s="20" t="n"/>
      <c r="D267" s="20" t="n"/>
      <c r="E267" s="20" t="n"/>
    </row>
    <row r="268" hidden="1" s="79">
      <c r="C268" s="20" t="n"/>
      <c r="D268" s="20" t="n"/>
      <c r="E268" s="20" t="n"/>
    </row>
    <row r="269" hidden="1" s="79">
      <c r="C269" s="20" t="n"/>
      <c r="D269" s="20" t="n"/>
      <c r="E269" s="20" t="n"/>
    </row>
    <row r="270" hidden="1" s="79">
      <c r="C270" s="20" t="n"/>
      <c r="D270" s="20" t="n"/>
      <c r="E270" s="20" t="n"/>
    </row>
    <row r="271" hidden="1" s="79">
      <c r="C271" s="20" t="n"/>
      <c r="D271" s="20" t="n"/>
      <c r="E271" s="20" t="n"/>
    </row>
    <row r="272" hidden="1" s="79">
      <c r="C272" s="20" t="n"/>
      <c r="D272" s="20" t="n"/>
      <c r="E272" s="20" t="n"/>
    </row>
    <row r="273" hidden="1" s="79">
      <c r="C273" s="20" t="n"/>
      <c r="D273" s="20" t="n"/>
      <c r="E273" s="20" t="n"/>
    </row>
    <row r="274" hidden="1" s="79">
      <c r="C274" s="20" t="n"/>
      <c r="D274" s="20" t="n"/>
      <c r="E274" s="20" t="n"/>
      <c r="N274" s="76" t="n"/>
    </row>
    <row r="275" hidden="1" s="79">
      <c r="C275" s="20" t="n"/>
      <c r="D275" s="20" t="n"/>
      <c r="E275" s="20" t="n"/>
      <c r="I275" s="12" t="n"/>
      <c r="J275" s="57" t="n"/>
    </row>
    <row r="276" hidden="1" s="79">
      <c r="C276" s="20" t="n"/>
      <c r="D276" s="20" t="n"/>
      <c r="E276" s="20" t="n"/>
    </row>
    <row r="277" hidden="1" s="79">
      <c r="C277" s="20" t="n"/>
      <c r="D277" s="20" t="n"/>
      <c r="E277" s="20" t="n"/>
    </row>
    <row r="278" hidden="1" s="79">
      <c r="C278" s="20" t="n"/>
      <c r="D278" s="20" t="n"/>
      <c r="E278" s="20" t="n"/>
      <c r="N278" s="76" t="n"/>
    </row>
    <row r="279" hidden="1" s="79">
      <c r="C279" s="20" t="n"/>
      <c r="D279" s="20" t="n"/>
      <c r="E279" s="20" t="n"/>
    </row>
    <row r="280" hidden="1" s="79">
      <c r="C280" s="20" t="n"/>
      <c r="D280" s="20" t="n"/>
      <c r="E280" s="20" t="n"/>
    </row>
    <row r="281" hidden="1" s="79">
      <c r="C281" s="20" t="n"/>
      <c r="D281" s="20" t="n"/>
      <c r="E281" s="20" t="n"/>
    </row>
    <row r="282" hidden="1" s="79">
      <c r="C282" s="20" t="n"/>
      <c r="D282" s="20" t="n"/>
      <c r="E282" s="20" t="n"/>
    </row>
    <row r="283" hidden="1" s="79">
      <c r="C283" s="20" t="n"/>
      <c r="D283" s="20" t="n"/>
      <c r="E283" s="20" t="n"/>
    </row>
    <row r="284" hidden="1" s="79">
      <c r="C284" s="20" t="n"/>
      <c r="D284" s="20" t="n"/>
      <c r="E284" s="20" t="n"/>
    </row>
    <row r="285" hidden="1" s="79">
      <c r="C285" s="20" t="n"/>
      <c r="D285" s="20" t="n"/>
      <c r="E285" s="20" t="n"/>
    </row>
    <row r="286" hidden="1" s="79">
      <c r="C286" s="20" t="n"/>
      <c r="D286" s="20" t="n"/>
      <c r="E286" s="20" t="n"/>
    </row>
    <row r="287" hidden="1" s="79">
      <c r="C287" s="20" t="n"/>
      <c r="D287" s="20" t="n"/>
      <c r="E287" s="20" t="n"/>
    </row>
    <row r="288" hidden="1" s="79">
      <c r="C288" s="20" t="n"/>
      <c r="D288" s="20" t="n"/>
      <c r="E288" s="20" t="n"/>
      <c r="J288" s="12" t="n"/>
      <c r="N288" s="76" t="n"/>
    </row>
    <row r="289" hidden="1" s="79">
      <c r="C289" s="20" t="n"/>
      <c r="D289" s="20" t="n"/>
      <c r="E289" s="20" t="n"/>
      <c r="N289" s="76" t="n"/>
    </row>
    <row r="290" hidden="1" s="79">
      <c r="C290" s="20" t="n"/>
      <c r="D290" s="20" t="n"/>
      <c r="E290" s="20" t="n"/>
    </row>
    <row r="291" hidden="1" s="79">
      <c r="C291" s="20" t="n"/>
      <c r="D291" s="20" t="n"/>
      <c r="E291" s="20" t="n"/>
    </row>
    <row r="292" hidden="1" s="79">
      <c r="C292" s="20" t="n"/>
      <c r="D292" s="20" t="n"/>
      <c r="E292" s="20" t="n"/>
    </row>
    <row r="293" hidden="1" s="79">
      <c r="C293" s="20" t="n"/>
      <c r="D293" s="20" t="n"/>
      <c r="E293" s="20" t="n"/>
    </row>
    <row r="294" hidden="1" s="79">
      <c r="C294" s="20" t="n"/>
      <c r="D294" s="20" t="n"/>
      <c r="E294" s="20" t="n"/>
    </row>
    <row r="295" hidden="1" s="79">
      <c r="C295" s="20" t="n"/>
      <c r="D295" s="20" t="n"/>
      <c r="E295" s="20" t="n"/>
    </row>
    <row r="296" hidden="1" s="79">
      <c r="C296" s="20" t="n"/>
      <c r="D296" s="20" t="n"/>
      <c r="E296" s="20" t="n"/>
      <c r="N296" s="76" t="n"/>
    </row>
    <row r="297" hidden="1" s="79">
      <c r="C297" s="20" t="n"/>
      <c r="D297" s="20" t="n"/>
      <c r="E297" s="20" t="n"/>
      <c r="N297" s="76" t="n"/>
    </row>
    <row r="298" hidden="1" s="79">
      <c r="C298" s="20" t="n"/>
      <c r="D298" s="20" t="n"/>
      <c r="E298" s="20" t="n"/>
    </row>
    <row r="299" hidden="1" s="79">
      <c r="C299" s="20" t="n"/>
      <c r="D299" s="20" t="n"/>
      <c r="E299" s="20" t="n"/>
    </row>
    <row r="300" hidden="1" s="79">
      <c r="C300" s="20" t="n"/>
      <c r="D300" s="20" t="n"/>
      <c r="E300" s="20" t="n"/>
    </row>
    <row r="301" hidden="1" s="79">
      <c r="C301" s="20" t="n"/>
      <c r="D301" s="20" t="n"/>
      <c r="E301" s="20" t="n"/>
    </row>
    <row r="302" hidden="1" s="79">
      <c r="C302" s="20" t="n"/>
      <c r="D302" s="20" t="n"/>
      <c r="E302" s="20" t="n"/>
    </row>
    <row r="303" hidden="1" s="79">
      <c r="C303" s="20" t="n"/>
      <c r="D303" s="20" t="n"/>
      <c r="E303" s="20" t="n"/>
      <c r="I303" s="12" t="n"/>
      <c r="J303" s="12" t="n"/>
    </row>
    <row r="304" hidden="1" s="79">
      <c r="C304" s="20" t="n"/>
      <c r="D304" s="20" t="n"/>
      <c r="E304" s="20" t="n"/>
    </row>
    <row r="305" hidden="1" s="79">
      <c r="C305" s="20" t="n"/>
      <c r="D305" s="20" t="n"/>
      <c r="E305" s="20" t="n"/>
    </row>
    <row r="306" hidden="1" s="79">
      <c r="C306" s="20" t="n"/>
      <c r="D306" s="20" t="n"/>
      <c r="E306" s="20" t="n"/>
    </row>
    <row r="307" hidden="1" s="79">
      <c r="C307" s="20" t="n"/>
      <c r="D307" s="20" t="n"/>
      <c r="E307" s="20" t="n"/>
    </row>
    <row r="308" hidden="1" s="79">
      <c r="C308" s="20" t="n"/>
      <c r="D308" s="20" t="n"/>
      <c r="E308" s="20" t="n"/>
    </row>
    <row r="309" hidden="1" s="79">
      <c r="C309" s="20" t="n"/>
      <c r="D309" s="20" t="n"/>
      <c r="E309" s="20" t="n"/>
    </row>
    <row r="310" hidden="1" s="79">
      <c r="C310" s="20" t="n"/>
      <c r="D310" s="20" t="n"/>
      <c r="E310" s="20" t="n"/>
    </row>
    <row r="311" hidden="1" s="79">
      <c r="C311" s="20" t="n"/>
      <c r="D311" s="20" t="n"/>
      <c r="E311" s="20" t="n"/>
    </row>
    <row r="312" hidden="1" s="79">
      <c r="C312" s="20" t="n"/>
      <c r="D312" s="20" t="n"/>
      <c r="E312" s="20" t="n"/>
    </row>
    <row r="313" hidden="1" s="79">
      <c r="C313" s="20" t="n"/>
      <c r="D313" s="20" t="n"/>
      <c r="E313" s="20" t="n"/>
    </row>
    <row r="314" hidden="1" s="79">
      <c r="C314" s="20" t="n"/>
      <c r="D314" s="20" t="n"/>
      <c r="E314" s="20" t="n"/>
    </row>
    <row r="315" hidden="1" s="79">
      <c r="C315" s="20" t="n"/>
      <c r="D315" s="20" t="n"/>
      <c r="E315" s="20" t="n"/>
    </row>
    <row r="316" hidden="1" s="79">
      <c r="C316" s="20" t="n"/>
      <c r="D316" s="20" t="n"/>
      <c r="E316" s="20" t="n"/>
    </row>
    <row r="317" hidden="1" s="79">
      <c r="C317" s="20" t="n"/>
      <c r="D317" s="20" t="n"/>
      <c r="E317" s="20" t="n"/>
    </row>
    <row r="318" hidden="1" s="79">
      <c r="C318" s="20" t="n"/>
      <c r="D318" s="20" t="n"/>
      <c r="E318" s="20" t="n"/>
    </row>
    <row r="319" hidden="1" s="79">
      <c r="C319" s="20" t="n"/>
      <c r="D319" s="20" t="n"/>
      <c r="E319" s="20" t="n"/>
    </row>
    <row r="320" hidden="1" s="79">
      <c r="C320" s="20" t="n"/>
      <c r="D320" s="20" t="n"/>
      <c r="E320" s="20" t="n"/>
    </row>
    <row r="321" hidden="1" s="79">
      <c r="C321" s="20" t="n"/>
      <c r="D321" s="20" t="n"/>
      <c r="E321" s="20" t="n"/>
    </row>
    <row r="322" hidden="1" s="79">
      <c r="C322" s="20" t="n"/>
      <c r="D322" s="20" t="n"/>
      <c r="E322" s="20" t="n"/>
    </row>
    <row r="323" hidden="1" s="79">
      <c r="C323" s="20" t="n"/>
      <c r="D323" s="20" t="n"/>
      <c r="E323" s="20" t="n"/>
    </row>
    <row r="324" hidden="1" s="79">
      <c r="C324" s="20" t="n"/>
      <c r="D324" s="20" t="n"/>
      <c r="E324" s="20" t="n"/>
    </row>
    <row r="325" hidden="1" s="79">
      <c r="C325" s="20" t="n"/>
      <c r="D325" s="20" t="n"/>
      <c r="E325" s="20" t="n"/>
    </row>
    <row r="326" hidden="1" s="79">
      <c r="C326" s="20" t="n"/>
      <c r="D326" s="20" t="n"/>
      <c r="E326" s="20" t="n"/>
    </row>
    <row r="327" hidden="1" s="79">
      <c r="C327" s="20" t="n"/>
      <c r="D327" s="20" t="n"/>
      <c r="E327" s="20" t="n"/>
    </row>
    <row r="328" hidden="1" s="79">
      <c r="C328" s="20" t="n"/>
      <c r="D328" s="20" t="n"/>
      <c r="E328" s="20" t="n"/>
    </row>
    <row r="329" hidden="1" s="79">
      <c r="C329" s="20" t="n"/>
      <c r="D329" s="20" t="n"/>
      <c r="E329" s="20" t="n"/>
    </row>
    <row r="330" hidden="1" s="79">
      <c r="C330" s="20" t="n"/>
      <c r="D330" s="20" t="n"/>
      <c r="E330" s="20" t="n"/>
    </row>
    <row r="331" hidden="1" s="79">
      <c r="C331" s="20" t="n"/>
      <c r="D331" s="20" t="n"/>
      <c r="E331" s="20" t="n"/>
    </row>
    <row r="332" hidden="1" s="79">
      <c r="C332" s="20" t="n"/>
      <c r="D332" s="20" t="n"/>
      <c r="E332" s="20" t="n"/>
    </row>
    <row r="333" hidden="1" s="79">
      <c r="C333" s="20" t="n"/>
      <c r="D333" s="20" t="n"/>
      <c r="E333" s="20" t="n"/>
    </row>
    <row r="334" hidden="1" s="79">
      <c r="C334" s="20" t="n"/>
      <c r="D334" s="20" t="n"/>
      <c r="E334" s="20" t="n"/>
    </row>
    <row r="335" hidden="1" s="79">
      <c r="C335" s="20" t="n"/>
      <c r="D335" s="20" t="n"/>
      <c r="E335" s="20" t="n"/>
    </row>
    <row r="336" hidden="1" s="79">
      <c r="C336" s="20" t="n"/>
      <c r="D336" s="20" t="n"/>
      <c r="E336" s="20" t="n"/>
    </row>
    <row r="337" hidden="1" s="79">
      <c r="C337" s="20" t="n"/>
      <c r="D337" s="20" t="n"/>
      <c r="E337" s="20" t="n"/>
    </row>
    <row r="338" hidden="1" s="79">
      <c r="C338" s="20" t="n"/>
      <c r="D338" s="20" t="n"/>
      <c r="E338" s="20" t="n"/>
    </row>
    <row r="339" hidden="1" s="79">
      <c r="C339" s="20" t="n"/>
      <c r="D339" s="20" t="n"/>
      <c r="E339" s="20" t="n"/>
    </row>
    <row r="340" hidden="1" s="79">
      <c r="C340" s="20" t="n"/>
      <c r="D340" s="20" t="n"/>
      <c r="E340" s="20" t="n"/>
    </row>
    <row r="341" hidden="1" s="79">
      <c r="C341" s="20" t="n"/>
      <c r="D341" s="20" t="n"/>
      <c r="E341" s="20" t="n"/>
    </row>
    <row r="342" hidden="1" s="79">
      <c r="C342" s="20" t="n"/>
      <c r="D342" s="20" t="n"/>
      <c r="E342" s="20" t="n"/>
    </row>
    <row r="343" hidden="1" s="79">
      <c r="C343" s="20" t="n"/>
      <c r="D343" s="20" t="n"/>
      <c r="E343" s="20" t="n"/>
    </row>
    <row r="344" hidden="1" s="79">
      <c r="C344" s="20" t="n"/>
      <c r="D344" s="20" t="n"/>
      <c r="E344" s="20" t="n"/>
    </row>
    <row r="345" hidden="1" s="79">
      <c r="C345" s="20" t="n"/>
      <c r="D345" s="20" t="n"/>
      <c r="E345" s="20" t="n"/>
    </row>
    <row r="346" hidden="1" s="79">
      <c r="C346" s="20" t="n"/>
      <c r="D346" s="20" t="n"/>
      <c r="E346" s="20" t="n"/>
    </row>
    <row r="347" hidden="1" customFormat="1" s="1">
      <c r="A347" s="74" t="n"/>
      <c r="B347" s="12" t="n"/>
      <c r="C347" s="20" t="n"/>
      <c r="D347" s="20" t="n"/>
      <c r="E347" s="20" t="n"/>
      <c r="F347" s="12" t="n"/>
      <c r="G347" s="12" t="n"/>
      <c r="H347" s="12" t="n"/>
      <c r="I347" s="38" t="n"/>
      <c r="J347" s="39" t="n"/>
      <c r="K347" s="38" t="n"/>
      <c r="L347" s="75" t="n"/>
      <c r="M347" s="12" t="n"/>
      <c r="N347" s="76" t="n"/>
      <c r="O347" s="12" t="n"/>
      <c r="P347" s="12" t="n"/>
      <c r="Q347" s="12" t="n"/>
      <c r="R347" s="77" t="n"/>
    </row>
    <row r="348" hidden="1" s="79">
      <c r="C348" s="20" t="n"/>
      <c r="D348" s="20" t="n"/>
      <c r="E348" s="20" t="n"/>
    </row>
    <row r="349" hidden="1" s="79">
      <c r="C349" s="20" t="n"/>
      <c r="D349" s="20" t="n"/>
      <c r="E349" s="20" t="n"/>
    </row>
    <row r="350" hidden="1" s="79">
      <c r="C350" s="20" t="n"/>
      <c r="D350" s="20" t="n"/>
      <c r="E350" s="20" t="n"/>
    </row>
    <row r="351" hidden="1" s="79">
      <c r="C351" s="20" t="n"/>
      <c r="D351" s="20" t="n"/>
      <c r="E351" s="20" t="n"/>
      <c r="I351" s="12" t="n"/>
      <c r="J351" s="12" t="n"/>
    </row>
    <row r="352" hidden="1" s="79">
      <c r="C352" s="20" t="n"/>
      <c r="D352" s="20" t="n"/>
      <c r="E352" s="20" t="n"/>
    </row>
    <row r="353" hidden="1" s="79">
      <c r="C353" s="20" t="n"/>
      <c r="D353" s="20" t="n"/>
      <c r="E353" s="20" t="n"/>
      <c r="N353" s="76" t="n"/>
    </row>
    <row r="354" hidden="1" s="79">
      <c r="C354" s="20" t="n"/>
      <c r="D354" s="20" t="n"/>
      <c r="E354" s="20" t="n"/>
    </row>
    <row r="355" hidden="1" s="79">
      <c r="C355" s="20" t="n"/>
      <c r="D355" s="20" t="n"/>
      <c r="E355" s="20" t="n"/>
    </row>
    <row r="356" hidden="1" s="79">
      <c r="C356" s="20" t="n"/>
      <c r="D356" s="20" t="n"/>
      <c r="E356" s="20" t="n"/>
    </row>
    <row r="357" hidden="1" s="79">
      <c r="C357" s="20" t="n"/>
      <c r="D357" s="20" t="n"/>
      <c r="E357" s="20" t="n"/>
      <c r="N357" s="76" t="n"/>
    </row>
    <row r="358" hidden="1" s="79">
      <c r="C358" s="20" t="n"/>
      <c r="D358" s="20" t="n"/>
      <c r="E358" s="20" t="n"/>
    </row>
    <row r="359" hidden="1" s="79">
      <c r="C359" s="20" t="n"/>
      <c r="D359" s="20" t="n"/>
      <c r="E359" s="20" t="n"/>
    </row>
    <row r="360" hidden="1" s="79">
      <c r="C360" s="20" t="n"/>
      <c r="D360" s="20" t="n"/>
      <c r="E360" s="20" t="n"/>
    </row>
    <row r="361" hidden="1" s="79">
      <c r="C361" s="20" t="n"/>
      <c r="D361" s="20" t="n"/>
      <c r="E361" s="20" t="n"/>
    </row>
    <row r="362" hidden="1" s="79">
      <c r="C362" s="20" t="n"/>
      <c r="D362" s="20" t="n"/>
      <c r="E362" s="20" t="n"/>
    </row>
    <row r="363" hidden="1" s="79">
      <c r="C363" s="20" t="n"/>
      <c r="D363" s="20" t="n"/>
      <c r="E363" s="20" t="n"/>
      <c r="N363" s="76" t="n"/>
    </row>
    <row r="364" hidden="1" s="79">
      <c r="C364" s="20" t="n"/>
      <c r="D364" s="20" t="n"/>
      <c r="E364" s="20" t="n"/>
      <c r="N364" s="76" t="n"/>
    </row>
    <row r="365" hidden="1" s="79">
      <c r="C365" s="20" t="n"/>
      <c r="D365" s="20" t="n"/>
      <c r="E365" s="20" t="n"/>
      <c r="N365" s="76" t="n"/>
    </row>
    <row r="366" hidden="1" s="79">
      <c r="C366" s="20" t="n"/>
      <c r="D366" s="20" t="n"/>
      <c r="E366" s="20" t="n"/>
      <c r="N366" s="76" t="n"/>
    </row>
    <row r="367" hidden="1" s="79">
      <c r="C367" s="20" t="n"/>
      <c r="D367" s="20" t="n"/>
      <c r="E367" s="20" t="n"/>
      <c r="N367" s="76" t="n"/>
    </row>
    <row r="368" hidden="1" s="79">
      <c r="C368" s="20" t="n"/>
      <c r="D368" s="20" t="n"/>
      <c r="E368" s="20" t="n"/>
      <c r="N368" s="76" t="n"/>
    </row>
    <row r="369" hidden="1" s="79">
      <c r="C369" s="20" t="n"/>
      <c r="D369" s="20" t="n"/>
      <c r="E369" s="20" t="n"/>
      <c r="N369" s="76" t="n"/>
    </row>
    <row r="370" hidden="1" s="79">
      <c r="C370" s="20" t="n"/>
      <c r="D370" s="20" t="n"/>
      <c r="E370" s="20" t="n"/>
      <c r="N370" s="76" t="n"/>
    </row>
    <row r="371" hidden="1" s="79">
      <c r="C371" s="20" t="n"/>
      <c r="D371" s="20" t="n"/>
      <c r="E371" s="20" t="n"/>
    </row>
    <row r="372" hidden="1" s="79">
      <c r="C372" s="20" t="n"/>
      <c r="D372" s="20" t="n"/>
      <c r="E372" s="20" t="n"/>
    </row>
    <row r="373" hidden="1" s="79">
      <c r="C373" s="20" t="n"/>
      <c r="D373" s="20" t="n"/>
      <c r="E373" s="20" t="n"/>
    </row>
    <row r="374" hidden="1" s="79">
      <c r="C374" s="20" t="n"/>
      <c r="D374" s="20" t="n"/>
      <c r="E374" s="20" t="n"/>
    </row>
    <row r="375" hidden="1" s="79">
      <c r="C375" s="20" t="n"/>
      <c r="D375" s="20" t="n"/>
      <c r="E375" s="20" t="n"/>
    </row>
    <row r="376" hidden="1" s="79">
      <c r="C376" s="20" t="n"/>
      <c r="D376" s="20" t="n"/>
      <c r="E376" s="20" t="n"/>
    </row>
    <row r="377" hidden="1" s="79">
      <c r="C377" s="20" t="n"/>
      <c r="D377" s="20" t="n"/>
      <c r="E377" s="20" t="n"/>
    </row>
    <row r="378" hidden="1" s="79">
      <c r="C378" s="20" t="n"/>
      <c r="D378" s="20" t="n"/>
      <c r="E378" s="20" t="n"/>
    </row>
    <row r="379" hidden="1" s="79">
      <c r="C379" s="20" t="n"/>
      <c r="D379" s="20" t="n"/>
      <c r="E379" s="20" t="n"/>
    </row>
    <row r="380" hidden="1" ht="18.75" customHeight="1" s="79">
      <c r="C380" s="20" t="n"/>
      <c r="D380" s="20" t="n"/>
      <c r="E380" s="20" t="n"/>
    </row>
    <row r="381" hidden="1" ht="18.75" customHeight="1" s="79">
      <c r="C381" s="20" t="n"/>
      <c r="D381" s="20" t="n"/>
      <c r="E381" s="20" t="n"/>
    </row>
    <row r="382" hidden="1" ht="18.75" customHeight="1" s="79"/>
    <row r="383" hidden="1" s="79">
      <c r="C383" s="20" t="n"/>
      <c r="D383" s="20" t="n"/>
      <c r="E383" s="20" t="n"/>
    </row>
    <row r="384" hidden="1" ht="18" customHeight="1" s="79">
      <c r="C384" s="20" t="n"/>
      <c r="D384" s="20" t="n"/>
      <c r="E384" s="20" t="n"/>
    </row>
    <row r="385" hidden="1" ht="19.5" customHeight="1" s="79">
      <c r="C385" s="20" t="n"/>
      <c r="D385" s="20" t="n"/>
      <c r="E385" s="20" t="n"/>
    </row>
    <row r="386" hidden="1" ht="18.75" customHeight="1" s="79">
      <c r="C386" s="20" t="n"/>
      <c r="D386" s="20" t="n"/>
      <c r="E386" s="20" t="n"/>
    </row>
    <row r="387" hidden="1" s="79">
      <c r="C387" s="20" t="n"/>
      <c r="D387" s="20" t="n"/>
      <c r="E387" s="20" t="n"/>
    </row>
    <row r="388" hidden="1" ht="18" customHeight="1" s="79">
      <c r="C388" s="20" t="n"/>
      <c r="D388" s="20" t="n"/>
      <c r="E388" s="20" t="n"/>
    </row>
    <row r="389" hidden="1" ht="19.5" customHeight="1" s="79">
      <c r="C389" s="20" t="n"/>
      <c r="D389" s="20" t="n"/>
      <c r="E389" s="20" t="n"/>
    </row>
    <row r="390" hidden="1" ht="18.75" customHeight="1" s="79">
      <c r="C390" s="20" t="n"/>
      <c r="D390" s="20" t="n"/>
      <c r="E390" s="20" t="n"/>
    </row>
    <row r="391" hidden="1" ht="18.75" customHeight="1" s="79">
      <c r="C391" s="20" t="n"/>
      <c r="D391" s="20" t="n"/>
      <c r="E391" s="20" t="n"/>
    </row>
    <row r="392" hidden="1" ht="19.5" customHeight="1" s="79">
      <c r="C392" s="20" t="n"/>
      <c r="D392" s="20" t="n"/>
      <c r="E392" s="20" t="n"/>
    </row>
    <row r="393" hidden="1" ht="19.5" customHeight="1" s="79">
      <c r="C393" s="20" t="n"/>
      <c r="D393" s="20" t="n"/>
      <c r="E393" s="20" t="n"/>
    </row>
    <row r="394" hidden="1" ht="19.5" customHeight="1" s="79">
      <c r="C394" s="20" t="n"/>
      <c r="D394" s="20" t="n"/>
      <c r="E394" s="20" t="n"/>
    </row>
    <row r="395" hidden="1" ht="19.5" customHeight="1" s="79">
      <c r="C395" s="20" t="n"/>
      <c r="D395" s="20" t="n"/>
      <c r="E395" s="20" t="n"/>
    </row>
    <row r="396" hidden="1" ht="19.5" customHeight="1" s="79">
      <c r="C396" s="20" t="n"/>
      <c r="D396" s="20" t="n"/>
      <c r="E396" s="20" t="n"/>
    </row>
    <row r="397" hidden="1" ht="19.5" customHeight="1" s="79">
      <c r="C397" s="20" t="n"/>
      <c r="D397" s="20" t="n"/>
      <c r="E397" s="20" t="n"/>
    </row>
    <row r="398" hidden="1" ht="18.75" customHeight="1" s="79">
      <c r="C398" s="20" t="n"/>
      <c r="D398" s="20" t="n"/>
      <c r="E398" s="20" t="n"/>
    </row>
    <row r="399" hidden="1" ht="18.75" customHeight="1" s="79">
      <c r="C399" s="20" t="n"/>
      <c r="D399" s="20" t="n"/>
      <c r="E399" s="20" t="n"/>
    </row>
    <row r="400" hidden="1" ht="18.75" customHeight="1" s="79">
      <c r="C400" s="20" t="n"/>
      <c r="D400" s="20" t="n"/>
      <c r="E400" s="20" t="n"/>
    </row>
    <row r="401" hidden="1" ht="18.75" customHeight="1" s="79">
      <c r="C401" s="20" t="n"/>
      <c r="D401" s="20" t="n"/>
      <c r="E401" s="20" t="n"/>
    </row>
    <row r="402" hidden="1" ht="19.5" customHeight="1" s="79">
      <c r="C402" s="20" t="n"/>
      <c r="D402" s="20" t="n"/>
      <c r="E402" s="20" t="n"/>
    </row>
    <row r="403" hidden="1" ht="18" customHeight="1" s="79">
      <c r="C403" s="20" t="n"/>
      <c r="D403" s="20" t="n"/>
      <c r="E403" s="20" t="n"/>
    </row>
    <row r="404" hidden="1" ht="18.75" customHeight="1" s="79">
      <c r="C404" s="20" t="n"/>
      <c r="D404" s="20" t="n"/>
      <c r="E404" s="20" t="n"/>
    </row>
    <row r="405" hidden="1" ht="18.75" customHeight="1" s="79">
      <c r="C405" s="20" t="n"/>
      <c r="D405" s="20" t="n"/>
      <c r="E405" s="20" t="n"/>
    </row>
    <row r="406" hidden="1" ht="18" customHeight="1" s="79">
      <c r="C406" s="20" t="n"/>
      <c r="D406" s="20" t="n"/>
      <c r="E406" s="20" t="n"/>
    </row>
    <row r="407" hidden="1" ht="18.75" customHeight="1" s="79">
      <c r="C407" s="20" t="n"/>
      <c r="D407" s="20" t="n"/>
      <c r="E407" s="20" t="n"/>
    </row>
    <row r="408" hidden="1" ht="19.5" customHeight="1" s="79">
      <c r="C408" s="20" t="n"/>
      <c r="D408" s="20" t="n"/>
      <c r="E408" s="20" t="n"/>
    </row>
    <row r="409" hidden="1" ht="18.75" customHeight="1" s="79">
      <c r="C409" s="20" t="n"/>
      <c r="D409" s="20" t="n"/>
      <c r="E409" s="20" t="n"/>
    </row>
    <row r="410" hidden="1" ht="18" customHeight="1" s="79">
      <c r="C410" s="20" t="n"/>
      <c r="D410" s="20" t="n"/>
      <c r="E410" s="20" t="n"/>
    </row>
    <row r="411" hidden="1" ht="18.75" customHeight="1" s="79">
      <c r="C411" s="20" t="n"/>
      <c r="D411" s="20" t="n"/>
      <c r="E411" s="20" t="n"/>
    </row>
    <row r="412" hidden="1" ht="18.75" customHeight="1" s="79">
      <c r="C412" s="20" t="n"/>
      <c r="D412" s="20" t="n"/>
      <c r="E412" s="20" t="n"/>
    </row>
    <row r="413" hidden="1" ht="19.5" customHeight="1" s="79">
      <c r="C413" s="20" t="n"/>
      <c r="D413" s="20" t="n"/>
      <c r="E413" s="20" t="n"/>
    </row>
    <row r="414" hidden="1" ht="19.5" customHeight="1" s="79">
      <c r="C414" s="20" t="n"/>
      <c r="D414" s="20" t="n"/>
      <c r="E414" s="20" t="n"/>
    </row>
    <row r="415" hidden="1" ht="18" customHeight="1" s="79">
      <c r="C415" s="20" t="n"/>
      <c r="D415" s="20" t="n"/>
      <c r="E415" s="20" t="n"/>
    </row>
    <row r="416" hidden="1" ht="20.25" customHeight="1" s="79">
      <c r="C416" s="20" t="n"/>
      <c r="D416" s="20" t="n"/>
      <c r="E416" s="20" t="n"/>
    </row>
    <row r="417" hidden="1" ht="19.5" customHeight="1" s="79">
      <c r="C417" s="20" t="n"/>
      <c r="D417" s="20" t="n"/>
      <c r="E417" s="20" t="n"/>
    </row>
    <row r="418" hidden="1" ht="18.75" customHeight="1" s="79"/>
    <row r="419" hidden="1" ht="19.5" customHeight="1" s="79">
      <c r="C419" s="20" t="n"/>
      <c r="D419" s="20" t="n"/>
      <c r="E419" s="20" t="n"/>
    </row>
    <row r="420" hidden="1" ht="18.75" customHeight="1" s="79"/>
    <row r="421" hidden="1" ht="18" customHeight="1" s="79"/>
    <row r="422" hidden="1" ht="18.75" customHeight="1" s="79"/>
    <row r="423" hidden="1" ht="19.5" customHeight="1" s="79">
      <c r="C423" s="20" t="n"/>
      <c r="D423" s="20" t="n"/>
      <c r="E423" s="20" t="n"/>
    </row>
    <row r="424" hidden="1" ht="18.75" customHeight="1" s="79"/>
    <row r="425" hidden="1" ht="18.75" customHeight="1" s="79">
      <c r="C425" s="20" t="n"/>
      <c r="D425" s="20" t="n"/>
      <c r="E425" s="20" t="n"/>
    </row>
    <row r="426" hidden="1" ht="18" customHeight="1" s="79">
      <c r="C426" s="20" t="n"/>
      <c r="D426" s="20" t="n"/>
      <c r="E426" s="20" t="n"/>
    </row>
    <row r="427" hidden="1" ht="18.75" customHeight="1" s="79"/>
    <row r="428" hidden="1" ht="18.75" customHeight="1" s="79"/>
    <row r="429" hidden="1" ht="17.25" customHeight="1" s="79">
      <c r="C429" s="20" t="n"/>
      <c r="D429" s="20" t="n"/>
      <c r="E429" s="20" t="n"/>
    </row>
    <row r="430" hidden="1" ht="16.5" customHeight="1" s="79"/>
    <row r="431" hidden="1" ht="20.25" customHeight="1" s="79"/>
    <row r="432" hidden="1" ht="18.75" customHeight="1" s="79">
      <c r="C432" s="20" t="n"/>
      <c r="D432" s="20" t="n"/>
      <c r="E432" s="20" t="n"/>
    </row>
    <row r="433" hidden="1" ht="18.75" customHeight="1" s="79">
      <c r="C433" s="20" t="n"/>
      <c r="D433" s="20" t="n"/>
      <c r="E433" s="20" t="n"/>
    </row>
    <row r="434" hidden="1" ht="19.5" customHeight="1" s="79"/>
    <row r="435">
      <c r="C435" s="20" t="n"/>
      <c r="D435" s="20" t="n"/>
      <c r="E435" s="20" t="n"/>
    </row>
    <row r="436">
      <c r="C436" s="20" t="n"/>
      <c r="D436" s="20" t="n"/>
      <c r="E436" s="20" t="n"/>
    </row>
  </sheetData>
  <autoFilter ref="A4:S434">
    <filterColumn colId="0" hiddenButton="0" showButton="1">
      <filters>
        <dateGroupItem year="2026" month="4" day="22" dateTimeGrouping="day"/>
      </filters>
    </filterColumn>
    <sortState ref="A20:S79">
      <sortCondition descending="1" ref="B4:B434"/>
    </sortState>
  </autoFilter>
  <pageMargins left="0.7" right="0.7" top="0.75" bottom="0.75" header="0.3" footer="0.3"/>
  <pageSetup orientation="landscape" paperSize="8" scale="67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6" filterMode="1">
    <outlinePr summaryBelow="1" summaryRight="1"/>
    <pageSetUpPr/>
  </sheetPr>
  <dimension ref="A1:T436"/>
  <sheetViews>
    <sheetView zoomScale="80" zoomScaleNormal="80" workbookViewId="0">
      <pane ySplit="4" topLeftCell="A43" activePane="bottomLeft" state="frozen"/>
      <selection activeCell="K21" sqref="K21"/>
      <selection pane="bottomLeft" activeCell="E76" sqref="E76"/>
    </sheetView>
  </sheetViews>
  <sheetFormatPr baseColWidth="8" defaultRowHeight="18.75"/>
  <cols>
    <col width="6.125" bestFit="1" customWidth="1" style="74" min="1" max="1"/>
    <col width="9" customWidth="1" style="12" min="2" max="2"/>
    <col width="9" customWidth="1" style="12" min="3" max="8"/>
    <col width="9.5" bestFit="1" customWidth="1" style="38" min="9" max="9"/>
    <col width="10.625" bestFit="1" customWidth="1" style="39" min="10" max="10"/>
    <col width="50.125" bestFit="1" customWidth="1" style="38" min="11" max="11"/>
    <col width="9" customWidth="1" style="75" min="12" max="12"/>
    <col width="12.125" bestFit="1" customWidth="1" style="12" min="13" max="13"/>
    <col width="12.125" customWidth="1" style="76" min="14" max="14"/>
    <col width="11" bestFit="1" customWidth="1" style="12" min="15" max="15"/>
    <col width="13" customWidth="1" style="12" min="16" max="16"/>
    <col width="13" bestFit="1" customWidth="1" style="12" min="17" max="17"/>
    <col width="9" customWidth="1" style="77" min="18" max="18"/>
    <col width="9" customWidth="1" style="1" min="19" max="19"/>
    <col width="55.375" bestFit="1" customWidth="1" style="1" min="20" max="20"/>
  </cols>
  <sheetData>
    <row r="1">
      <c r="A1" s="3" t="n">
        <v>26</v>
      </c>
      <c r="B1" s="3" t="inlineStr">
        <is>
          <t>年</t>
        </is>
      </c>
      <c r="C1" s="3" t="n">
        <v>26</v>
      </c>
      <c r="D1" s="3" t="inlineStr">
        <is>
          <t>年</t>
        </is>
      </c>
      <c r="E1" s="3" t="n"/>
      <c r="F1" s="3" t="n"/>
      <c r="G1" s="3" t="n"/>
      <c r="H1" s="21" t="n"/>
      <c r="I1" s="35" t="n"/>
      <c r="J1" s="36" t="n"/>
      <c r="K1" s="36" t="n"/>
      <c r="L1" s="0" t="n"/>
      <c r="M1" s="0" t="n"/>
      <c r="N1" s="0" t="n"/>
      <c r="O1" s="0" t="n"/>
      <c r="P1" s="0" t="n"/>
      <c r="Q1" s="0" t="n"/>
      <c r="R1" s="0" t="n"/>
      <c r="S1" s="0" t="n"/>
      <c r="T1" s="0" t="n"/>
    </row>
    <row r="2">
      <c r="A2" s="3" t="n">
        <v>4</v>
      </c>
      <c r="B2" s="3" t="inlineStr">
        <is>
          <t>月 21日</t>
        </is>
      </c>
      <c r="C2" s="19" t="n">
        <v>5</v>
      </c>
      <c r="D2" s="3" t="inlineStr">
        <is>
          <t>月 20日</t>
        </is>
      </c>
      <c r="E2" s="3" t="n"/>
      <c r="F2" s="3" t="n"/>
      <c r="G2" s="22" t="inlineStr">
        <is>
          <t>※一行すべて選択して削除！！</t>
        </is>
      </c>
      <c r="H2" s="21" t="n"/>
      <c r="I2" s="35" t="n"/>
      <c r="J2" s="36" t="n"/>
      <c r="K2" s="36" t="n"/>
      <c r="L2" s="0" t="n"/>
      <c r="M2" s="0" t="n"/>
      <c r="N2" s="0" t="n"/>
      <c r="O2" s="0" t="n"/>
      <c r="P2" s="0" t="n"/>
      <c r="Q2" s="0" t="n"/>
      <c r="R2" s="0" t="n"/>
      <c r="S2" s="0" t="n"/>
      <c r="T2" s="0" t="n"/>
    </row>
    <row r="3">
      <c r="A3" s="0" t="n"/>
      <c r="B3" s="0" t="n"/>
      <c r="C3" s="0" t="n"/>
      <c r="D3" s="0" t="n"/>
      <c r="E3" s="0" t="n"/>
      <c r="F3" s="0" t="n"/>
      <c r="G3" s="0" t="n"/>
      <c r="H3" s="0" t="n"/>
      <c r="I3" s="36" t="n"/>
      <c r="J3" s="36" t="n"/>
      <c r="K3" s="36" t="n"/>
      <c r="L3" s="0" t="n"/>
      <c r="M3" s="0" t="n"/>
      <c r="N3" s="0" t="n"/>
      <c r="O3" s="0" t="n"/>
      <c r="P3" s="0" t="n"/>
      <c r="Q3" s="0" t="n"/>
      <c r="R3" s="0" t="n"/>
      <c r="S3" s="0" t="n"/>
      <c r="T3" s="0" t="n"/>
    </row>
    <row r="4">
      <c r="A4" s="2" t="inlineStr">
        <is>
          <t>日付</t>
        </is>
      </c>
      <c r="B4" s="2" t="inlineStr">
        <is>
          <t>氏名</t>
        </is>
      </c>
      <c r="C4" s="2" t="inlineStr">
        <is>
          <t>出勤</t>
        </is>
      </c>
      <c r="D4" s="2" t="inlineStr">
        <is>
          <t>退勤</t>
        </is>
      </c>
      <c r="E4" s="2" t="inlineStr">
        <is>
          <t>残業</t>
        </is>
      </c>
      <c r="F4" s="2" t="inlineStr">
        <is>
          <t>開始</t>
        </is>
      </c>
      <c r="G4" s="2" t="inlineStr">
        <is>
          <t>終了</t>
        </is>
      </c>
      <c r="H4" s="2" t="inlineStr">
        <is>
          <t>職種</t>
        </is>
      </c>
      <c r="I4" s="37" t="inlineStr">
        <is>
          <t>区分</t>
        </is>
      </c>
      <c r="J4" s="37" t="inlineStr">
        <is>
          <t>業務名</t>
        </is>
      </c>
      <c r="K4" s="37" t="inlineStr">
        <is>
          <t>詳細</t>
        </is>
      </c>
      <c r="L4" s="2" t="inlineStr">
        <is>
          <t>時間(h)</t>
        </is>
      </c>
      <c r="M4" s="2" t="inlineStr">
        <is>
          <t>ソフト・機材</t>
        </is>
      </c>
      <c r="N4" s="2" t="inlineStr">
        <is>
          <t>料金</t>
        </is>
      </c>
      <c r="O4" s="2" t="inlineStr">
        <is>
          <t>車両</t>
        </is>
      </c>
      <c r="P4" s="2" t="inlineStr">
        <is>
          <t>発</t>
        </is>
      </c>
      <c r="Q4" s="2" t="inlineStr">
        <is>
          <t>着</t>
        </is>
      </c>
      <c r="R4" s="2" t="inlineStr">
        <is>
          <t>距離</t>
        </is>
      </c>
      <c r="S4" s="2" t="inlineStr">
        <is>
          <t>移動方法</t>
        </is>
      </c>
      <c r="T4" s="2" t="inlineStr">
        <is>
          <t>備考</t>
        </is>
      </c>
    </row>
    <row r="5" hidden="1" s="79">
      <c r="A5" s="74" t="n">
        <v>46133</v>
      </c>
      <c r="B5" s="12" t="inlineStr">
        <is>
          <t>金本</t>
        </is>
      </c>
      <c r="C5" s="20" t="n">
        <v>0.3541666666666667</v>
      </c>
      <c r="D5" s="20" t="n">
        <v>0.7291666666666666</v>
      </c>
      <c r="E5" s="20" t="n">
        <v>0</v>
      </c>
      <c r="F5" s="12" t="inlineStr">
        <is>
          <t>本社</t>
        </is>
      </c>
      <c r="G5" s="12" t="inlineStr">
        <is>
          <t>本社</t>
        </is>
      </c>
      <c r="H5" s="12" t="inlineStr">
        <is>
          <t>助手</t>
        </is>
      </c>
      <c r="I5" s="12" t="inlineStr">
        <is>
          <t>研修</t>
        </is>
      </c>
      <c r="J5" s="12" t="inlineStr">
        <is>
          <t>研修</t>
        </is>
      </c>
      <c r="K5" s="14" t="inlineStr">
        <is>
          <t>明日の社内CAD講習の準備</t>
        </is>
      </c>
      <c r="L5" s="75" t="n">
        <v>3</v>
      </c>
      <c r="M5" s="12" t="inlineStr">
        <is>
          <t>なし</t>
        </is>
      </c>
      <c r="N5" s="76" t="inlineStr">
        <is>
          <t>-</t>
        </is>
      </c>
      <c r="O5" s="12" t="inlineStr">
        <is>
          <t>なし</t>
        </is>
      </c>
      <c r="P5" s="12" t="inlineStr">
        <is>
          <t>-</t>
        </is>
      </c>
      <c r="Q5" s="12" t="inlineStr">
        <is>
          <t>-</t>
        </is>
      </c>
      <c r="R5" s="77" t="inlineStr">
        <is>
          <t>-</t>
        </is>
      </c>
      <c r="S5" s="1" t="inlineStr">
        <is>
          <t>-</t>
        </is>
      </c>
    </row>
    <row r="6" hidden="1" s="79">
      <c r="A6" s="74" t="n">
        <v>46133</v>
      </c>
      <c r="B6" s="12" t="inlineStr">
        <is>
          <t>金本</t>
        </is>
      </c>
      <c r="C6" s="20" t="inlineStr">
        <is>
          <t>-</t>
        </is>
      </c>
      <c r="D6" s="20" t="inlineStr">
        <is>
          <t>-</t>
        </is>
      </c>
      <c r="E6" s="20" t="inlineStr">
        <is>
          <t>-</t>
        </is>
      </c>
      <c r="F6" s="12" t="inlineStr">
        <is>
          <t>-</t>
        </is>
      </c>
      <c r="G6" s="12" t="inlineStr">
        <is>
          <t>-</t>
        </is>
      </c>
      <c r="H6" s="12" t="inlineStr">
        <is>
          <t>助手</t>
        </is>
      </c>
      <c r="I6" s="59" t="inlineStr">
        <is>
          <t>営業</t>
        </is>
      </c>
      <c r="J6" s="1" t="inlineStr">
        <is>
          <t>営業</t>
        </is>
      </c>
      <c r="K6" s="14" t="inlineStr">
        <is>
          <t>錢高 中島さん、鳥居水門 玉井さん、などのメール対応</t>
        </is>
      </c>
      <c r="L6" s="75" t="n">
        <v>1</v>
      </c>
      <c r="M6" s="12" t="inlineStr">
        <is>
          <t>なし</t>
        </is>
      </c>
      <c r="N6" s="76" t="inlineStr">
        <is>
          <t>-</t>
        </is>
      </c>
      <c r="O6" s="12" t="inlineStr">
        <is>
          <t>なし</t>
        </is>
      </c>
      <c r="P6" s="12" t="inlineStr">
        <is>
          <t>-</t>
        </is>
      </c>
      <c r="Q6" s="12" t="inlineStr">
        <is>
          <t>-</t>
        </is>
      </c>
      <c r="R6" s="77" t="inlineStr">
        <is>
          <t>-</t>
        </is>
      </c>
      <c r="S6" s="1" t="inlineStr">
        <is>
          <t>-</t>
        </is>
      </c>
    </row>
    <row r="7" hidden="1" s="79">
      <c r="A7" s="74" t="n">
        <v>46133</v>
      </c>
      <c r="B7" s="12" t="inlineStr">
        <is>
          <t>金本</t>
        </is>
      </c>
      <c r="C7" s="20" t="inlineStr">
        <is>
          <t>-</t>
        </is>
      </c>
      <c r="D7" s="20" t="inlineStr">
        <is>
          <t>-</t>
        </is>
      </c>
      <c r="E7" s="20" t="inlineStr">
        <is>
          <t>-</t>
        </is>
      </c>
      <c r="F7" s="12" t="inlineStr">
        <is>
          <t>-</t>
        </is>
      </c>
      <c r="G7" s="12" t="inlineStr">
        <is>
          <t>-</t>
        </is>
      </c>
      <c r="H7" s="12" t="inlineStr">
        <is>
          <t>助手</t>
        </is>
      </c>
      <c r="I7" s="59" t="inlineStr">
        <is>
          <t>EA105</t>
        </is>
      </c>
      <c r="J7" s="1" t="inlineStr">
        <is>
          <t>鳥居水門</t>
        </is>
      </c>
      <c r="K7" s="14" t="inlineStr">
        <is>
          <t>BIMCIMフォルダの作成</t>
        </is>
      </c>
      <c r="L7" s="75" t="n">
        <v>4</v>
      </c>
      <c r="M7" s="12" t="inlineStr">
        <is>
          <t>なし</t>
        </is>
      </c>
      <c r="N7" s="76" t="inlineStr">
        <is>
          <t>-</t>
        </is>
      </c>
      <c r="O7" s="12" t="inlineStr">
        <is>
          <t>なし</t>
        </is>
      </c>
      <c r="P7" s="12" t="inlineStr">
        <is>
          <t>-</t>
        </is>
      </c>
      <c r="Q7" s="12" t="inlineStr">
        <is>
          <t>-</t>
        </is>
      </c>
      <c r="R7" s="77" t="inlineStr">
        <is>
          <t>-</t>
        </is>
      </c>
      <c r="S7" s="1" t="inlineStr">
        <is>
          <t>-</t>
        </is>
      </c>
    </row>
    <row r="8" hidden="1" s="79">
      <c r="A8" s="74" t="n">
        <v>46133</v>
      </c>
      <c r="B8" s="12" t="inlineStr">
        <is>
          <t>タイ</t>
        </is>
      </c>
      <c r="C8" s="20" t="n">
        <v>0.3541666666666667</v>
      </c>
      <c r="D8" s="20" t="n">
        <v>0.7291666666666666</v>
      </c>
      <c r="E8" s="20" t="n">
        <v>0</v>
      </c>
      <c r="F8" s="12" t="inlineStr">
        <is>
          <t>本社</t>
        </is>
      </c>
      <c r="G8" s="12" t="inlineStr">
        <is>
          <t>本社</t>
        </is>
      </c>
      <c r="H8" s="12" t="inlineStr">
        <is>
          <t>助手</t>
        </is>
      </c>
      <c r="I8" s="38" t="inlineStr">
        <is>
          <t>EA156</t>
        </is>
      </c>
      <c r="J8" s="39" t="inlineStr">
        <is>
          <t>R7寺田拡幅</t>
        </is>
      </c>
      <c r="K8" s="14" t="inlineStr">
        <is>
          <t>寺田拡幅交差点の3Dモデル作成</t>
        </is>
      </c>
      <c r="L8" s="75" t="n">
        <v>8</v>
      </c>
      <c r="M8" s="12" t="inlineStr">
        <is>
          <t>AUTODESK</t>
        </is>
      </c>
      <c r="N8" s="76" t="n">
        <v>1750</v>
      </c>
      <c r="O8" s="12" t="inlineStr">
        <is>
          <t>なし</t>
        </is>
      </c>
      <c r="P8" s="12" t="inlineStr">
        <is>
          <t>-</t>
        </is>
      </c>
      <c r="Q8" s="12" t="inlineStr">
        <is>
          <t>-</t>
        </is>
      </c>
      <c r="R8" s="77" t="inlineStr">
        <is>
          <t>-</t>
        </is>
      </c>
      <c r="S8" s="1" t="inlineStr">
        <is>
          <t>-</t>
        </is>
      </c>
    </row>
    <row r="9" hidden="1" s="79">
      <c r="A9" s="74" t="n">
        <v>46133</v>
      </c>
      <c r="B9" s="12" t="inlineStr">
        <is>
          <t>バタイ</t>
        </is>
      </c>
      <c r="C9" s="20" t="n">
        <v>0.3125</v>
      </c>
      <c r="D9" s="20" t="n">
        <v>0.7083333333333334</v>
      </c>
      <c r="E9" s="20" t="n">
        <v>0.04166666666666666</v>
      </c>
      <c r="F9" s="20" t="inlineStr">
        <is>
          <t>本社</t>
        </is>
      </c>
      <c r="G9" s="20" t="inlineStr">
        <is>
          <t>本社</t>
        </is>
      </c>
      <c r="H9" s="12" t="inlineStr">
        <is>
          <t>助手</t>
        </is>
      </c>
      <c r="I9" s="59" t="inlineStr">
        <is>
          <t>EA45</t>
        </is>
      </c>
      <c r="J9" s="1" t="inlineStr">
        <is>
          <t>北陸</t>
        </is>
      </c>
      <c r="K9" s="14" t="inlineStr">
        <is>
          <t>REVITの資料作成</t>
        </is>
      </c>
      <c r="L9" s="75" t="n">
        <v>8</v>
      </c>
      <c r="M9" s="12" t="inlineStr">
        <is>
          <t>なし</t>
        </is>
      </c>
      <c r="N9" s="76" t="inlineStr">
        <is>
          <t>-</t>
        </is>
      </c>
      <c r="O9" s="12" t="inlineStr">
        <is>
          <t>なし</t>
        </is>
      </c>
      <c r="P9" s="12" t="inlineStr">
        <is>
          <t>-</t>
        </is>
      </c>
      <c r="Q9" s="12" t="inlineStr">
        <is>
          <t>-</t>
        </is>
      </c>
      <c r="R9" s="77" t="inlineStr">
        <is>
          <t>-</t>
        </is>
      </c>
      <c r="S9" s="1" t="inlineStr">
        <is>
          <t>-</t>
        </is>
      </c>
    </row>
    <row r="10" hidden="1" s="79">
      <c r="A10" s="74" t="n">
        <v>46133</v>
      </c>
      <c r="B10" s="12" t="inlineStr">
        <is>
          <t>ズイ</t>
        </is>
      </c>
      <c r="C10" s="20" t="n">
        <v>0.3125</v>
      </c>
      <c r="D10" s="20" t="n">
        <v>0.7083333333333334</v>
      </c>
      <c r="E10" s="20" t="n">
        <v>0.04166666666666666</v>
      </c>
      <c r="F10" s="12" t="inlineStr">
        <is>
          <t>本社</t>
        </is>
      </c>
      <c r="G10" s="12" t="inlineStr">
        <is>
          <t>本社</t>
        </is>
      </c>
      <c r="H10" s="12" t="inlineStr">
        <is>
          <t>助手</t>
        </is>
      </c>
      <c r="I10" s="59" t="inlineStr">
        <is>
          <t>EA134</t>
        </is>
      </c>
      <c r="J10" s="1" t="inlineStr">
        <is>
          <t>教材作成</t>
        </is>
      </c>
      <c r="K10" s="14" t="inlineStr">
        <is>
          <t>Twinmotionによって施工ステップのガイを作成</t>
        </is>
      </c>
      <c r="L10" s="75" t="n">
        <v>8.5</v>
      </c>
      <c r="M10" s="12" t="inlineStr">
        <is>
          <t>AUTODESK</t>
        </is>
      </c>
      <c r="N10" s="76" t="n">
        <v>1750</v>
      </c>
      <c r="O10" s="12" t="inlineStr">
        <is>
          <t>なし</t>
        </is>
      </c>
      <c r="P10" s="12" t="inlineStr">
        <is>
          <t>-</t>
        </is>
      </c>
      <c r="Q10" s="12" t="inlineStr">
        <is>
          <t>-</t>
        </is>
      </c>
      <c r="R10" s="77" t="inlineStr">
        <is>
          <t>-</t>
        </is>
      </c>
      <c r="S10" s="1" t="inlineStr">
        <is>
          <t>-</t>
        </is>
      </c>
    </row>
    <row r="11" hidden="1" s="79">
      <c r="A11" s="74" t="n">
        <v>46133</v>
      </c>
      <c r="B11" s="12" t="inlineStr">
        <is>
          <t>フック</t>
        </is>
      </c>
      <c r="C11" s="20" t="n">
        <v>0.3541666666666667</v>
      </c>
      <c r="D11" s="20" t="n">
        <v>0.7291666666666666</v>
      </c>
      <c r="E11" s="20" t="n">
        <v>0</v>
      </c>
      <c r="F11" s="12" t="inlineStr">
        <is>
          <t>本社</t>
        </is>
      </c>
      <c r="G11" s="12" t="inlineStr">
        <is>
          <t>本社</t>
        </is>
      </c>
      <c r="H11" s="12" t="inlineStr">
        <is>
          <t>助手</t>
        </is>
      </c>
      <c r="I11" s="12" t="inlineStr">
        <is>
          <t>研修</t>
        </is>
      </c>
      <c r="J11" s="12" t="inlineStr">
        <is>
          <t>研修</t>
        </is>
      </c>
      <c r="K11" s="14" t="inlineStr">
        <is>
          <t>明日の社内CAD講習の準備</t>
        </is>
      </c>
      <c r="L11" s="75" t="n">
        <v>3</v>
      </c>
      <c r="M11" s="12" t="inlineStr">
        <is>
          <t>なし</t>
        </is>
      </c>
      <c r="N11" s="76" t="inlineStr">
        <is>
          <t>-</t>
        </is>
      </c>
      <c r="O11" s="12" t="inlineStr">
        <is>
          <t>なし</t>
        </is>
      </c>
      <c r="P11" s="12" t="inlineStr">
        <is>
          <t>-</t>
        </is>
      </c>
      <c r="Q11" s="12" t="inlineStr">
        <is>
          <t>-</t>
        </is>
      </c>
      <c r="R11" s="77" t="inlineStr">
        <is>
          <t>-</t>
        </is>
      </c>
      <c r="S11" s="1" t="inlineStr">
        <is>
          <t>-</t>
        </is>
      </c>
    </row>
    <row r="12" hidden="1" s="79">
      <c r="A12" s="74" t="n">
        <v>46133</v>
      </c>
      <c r="B12" s="12" t="inlineStr">
        <is>
          <t>フック</t>
        </is>
      </c>
      <c r="C12" s="20" t="inlineStr">
        <is>
          <t>-</t>
        </is>
      </c>
      <c r="D12" s="20" t="inlineStr">
        <is>
          <t>-</t>
        </is>
      </c>
      <c r="E12" s="20" t="inlineStr">
        <is>
          <t>-</t>
        </is>
      </c>
      <c r="F12" s="12" t="inlineStr">
        <is>
          <t>-</t>
        </is>
      </c>
      <c r="G12" s="12" t="inlineStr">
        <is>
          <t>-</t>
        </is>
      </c>
      <c r="H12" s="12" t="inlineStr">
        <is>
          <t>助手</t>
        </is>
      </c>
      <c r="I12" s="12" t="inlineStr">
        <is>
          <t>RD28</t>
        </is>
      </c>
      <c r="J12" s="12" t="inlineStr">
        <is>
          <t>小型ドローン</t>
        </is>
      </c>
      <c r="K12" s="14" t="inlineStr">
        <is>
          <t>小型ドローンモデル作成</t>
        </is>
      </c>
      <c r="L12" s="75" t="n">
        <v>5</v>
      </c>
      <c r="M12" s="12" t="inlineStr">
        <is>
          <t>AUTODESK</t>
        </is>
      </c>
      <c r="N12" s="76" t="n">
        <v>1750</v>
      </c>
      <c r="O12" s="12" t="inlineStr">
        <is>
          <t>なし</t>
        </is>
      </c>
      <c r="P12" s="12" t="inlineStr">
        <is>
          <t>-</t>
        </is>
      </c>
      <c r="Q12" s="12" t="inlineStr">
        <is>
          <t>-</t>
        </is>
      </c>
      <c r="R12" s="77" t="inlineStr">
        <is>
          <t>-</t>
        </is>
      </c>
      <c r="S12" s="1" t="inlineStr">
        <is>
          <t>-</t>
        </is>
      </c>
    </row>
    <row r="13" hidden="1" s="79">
      <c r="A13" s="74" t="n">
        <v>46133</v>
      </c>
      <c r="B13" s="12" t="inlineStr">
        <is>
          <t>南</t>
        </is>
      </c>
      <c r="C13" s="20" t="n">
        <v>0.3541666666666667</v>
      </c>
      <c r="D13" s="20" t="n">
        <v>0.7291666666666666</v>
      </c>
      <c r="E13" s="20" t="n">
        <v>0</v>
      </c>
      <c r="F13" s="12" t="inlineStr">
        <is>
          <t>本社</t>
        </is>
      </c>
      <c r="G13" s="12" t="inlineStr">
        <is>
          <t>本社</t>
        </is>
      </c>
      <c r="H13" s="12" t="inlineStr">
        <is>
          <t>助手</t>
        </is>
      </c>
      <c r="I13" s="59" t="inlineStr">
        <is>
          <t>EA156</t>
        </is>
      </c>
      <c r="J13" s="1" t="inlineStr">
        <is>
          <t>R7寺田拡幅</t>
        </is>
      </c>
      <c r="K13" s="38" t="inlineStr">
        <is>
          <t>現地　ガウシアン計測1回目</t>
        </is>
      </c>
      <c r="L13" s="75" t="n">
        <v>8</v>
      </c>
      <c r="M13" s="12" t="inlineStr">
        <is>
          <t>なし</t>
        </is>
      </c>
      <c r="N13" s="76" t="inlineStr">
        <is>
          <t>-</t>
        </is>
      </c>
      <c r="O13" s="12" t="inlineStr">
        <is>
          <t>ハイエース</t>
        </is>
      </c>
      <c r="P13" s="12" t="inlineStr">
        <is>
          <t>本社</t>
        </is>
      </c>
      <c r="Q13" s="12" t="inlineStr">
        <is>
          <t>寺田</t>
        </is>
      </c>
      <c r="R13" s="77" t="n">
        <v>21</v>
      </c>
      <c r="S13" s="1" t="inlineStr">
        <is>
          <t>下道</t>
        </is>
      </c>
    </row>
    <row r="14" hidden="1" s="79">
      <c r="A14" s="74" t="n">
        <v>46133</v>
      </c>
      <c r="B14" s="12" t="inlineStr">
        <is>
          <t>仲</t>
        </is>
      </c>
      <c r="C14" s="20" t="n">
        <v>0.3541666666666667</v>
      </c>
      <c r="D14" s="20" t="n">
        <v>0.7291666666666666</v>
      </c>
      <c r="E14" s="20" t="n">
        <v>0</v>
      </c>
      <c r="F14" s="12" t="inlineStr">
        <is>
          <t>本社</t>
        </is>
      </c>
      <c r="G14" s="12" t="inlineStr">
        <is>
          <t>本社</t>
        </is>
      </c>
      <c r="H14" s="12" t="inlineStr">
        <is>
          <t>助手</t>
        </is>
      </c>
      <c r="I14" s="59" t="inlineStr">
        <is>
          <t>EA156</t>
        </is>
      </c>
      <c r="J14" s="1" t="inlineStr">
        <is>
          <t>R7寺田拡幅</t>
        </is>
      </c>
      <c r="K14" s="38" t="inlineStr">
        <is>
          <t>現地　ガウシアン計測1回目</t>
        </is>
      </c>
      <c r="L14" s="75" t="n">
        <v>8</v>
      </c>
      <c r="M14" s="12" t="inlineStr">
        <is>
          <t>なし</t>
        </is>
      </c>
      <c r="N14" s="76" t="inlineStr">
        <is>
          <t>-</t>
        </is>
      </c>
      <c r="O14" s="12" t="inlineStr">
        <is>
          <t>なし</t>
        </is>
      </c>
      <c r="P14" s="12" t="inlineStr">
        <is>
          <t>-</t>
        </is>
      </c>
      <c r="Q14" s="12" t="inlineStr">
        <is>
          <t>-</t>
        </is>
      </c>
      <c r="R14" s="77" t="inlineStr">
        <is>
          <t>-</t>
        </is>
      </c>
      <c r="S14" s="1" t="inlineStr">
        <is>
          <t>-</t>
        </is>
      </c>
    </row>
    <row r="15" hidden="1" s="79">
      <c r="A15" s="74" t="n">
        <v>46133</v>
      </c>
      <c r="B15" s="12" t="inlineStr">
        <is>
          <t>村上</t>
        </is>
      </c>
      <c r="C15" s="20" t="n">
        <v>0.3541666666666667</v>
      </c>
      <c r="D15" s="20" t="n">
        <v>0.7291666666666666</v>
      </c>
      <c r="E15" s="20" t="n">
        <v>0</v>
      </c>
      <c r="F15" s="12" t="inlineStr">
        <is>
          <t>本社</t>
        </is>
      </c>
      <c r="G15" s="12" t="inlineStr">
        <is>
          <t>本社</t>
        </is>
      </c>
      <c r="H15" s="12" t="inlineStr">
        <is>
          <t>助手</t>
        </is>
      </c>
      <c r="I15" s="38" t="inlineStr">
        <is>
          <t>事務</t>
        </is>
      </c>
      <c r="J15" s="39" t="inlineStr">
        <is>
          <t>事務</t>
        </is>
      </c>
      <c r="K15" s="14" t="inlineStr">
        <is>
          <t>扶養非該当手続き、資格者書郵送、出面表作成、有効期限表更新、メール対応他</t>
        </is>
      </c>
      <c r="L15" s="75" t="n">
        <v>8</v>
      </c>
      <c r="M15" s="12" t="inlineStr">
        <is>
          <t>なし</t>
        </is>
      </c>
      <c r="N15" s="76" t="inlineStr">
        <is>
          <t>-</t>
        </is>
      </c>
      <c r="O15" s="12" t="inlineStr">
        <is>
          <t>なし</t>
        </is>
      </c>
      <c r="P15" s="12" t="inlineStr">
        <is>
          <t>-</t>
        </is>
      </c>
      <c r="Q15" s="12" t="inlineStr">
        <is>
          <t>-</t>
        </is>
      </c>
      <c r="R15" s="77" t="inlineStr">
        <is>
          <t>-</t>
        </is>
      </c>
      <c r="S15" s="1" t="inlineStr">
        <is>
          <t>-</t>
        </is>
      </c>
    </row>
    <row r="16" hidden="1" s="79">
      <c r="A16" s="74" t="n">
        <v>46133</v>
      </c>
      <c r="B16" s="12" t="inlineStr">
        <is>
          <t>千原</t>
        </is>
      </c>
      <c r="C16" s="20" t="n">
        <v>0.3541666666666667</v>
      </c>
      <c r="D16" s="20" t="n">
        <v>0.7291666666666666</v>
      </c>
      <c r="E16" s="20" t="n">
        <v>0</v>
      </c>
      <c r="F16" s="12" t="inlineStr">
        <is>
          <t>リモート</t>
        </is>
      </c>
      <c r="G16" s="12" t="inlineStr">
        <is>
          <t>リモート</t>
        </is>
      </c>
      <c r="H16" s="12" t="inlineStr">
        <is>
          <t>助手</t>
        </is>
      </c>
      <c r="I16" s="59" t="inlineStr">
        <is>
          <t>研修</t>
        </is>
      </c>
      <c r="J16" s="1" t="inlineStr">
        <is>
          <t>研修</t>
        </is>
      </c>
      <c r="K16" s="14" t="inlineStr">
        <is>
          <t>Revit操作資料テンプレート作成</t>
        </is>
      </c>
      <c r="L16" s="75" t="n">
        <v>6</v>
      </c>
      <c r="M16" s="12" t="inlineStr">
        <is>
          <t>なし</t>
        </is>
      </c>
      <c r="N16" s="76" t="inlineStr">
        <is>
          <t>-</t>
        </is>
      </c>
      <c r="O16" s="12" t="inlineStr">
        <is>
          <t>なし</t>
        </is>
      </c>
      <c r="P16" s="12" t="inlineStr">
        <is>
          <t>-</t>
        </is>
      </c>
      <c r="Q16" s="12" t="inlineStr">
        <is>
          <t>-</t>
        </is>
      </c>
      <c r="R16" s="77" t="inlineStr">
        <is>
          <t>-</t>
        </is>
      </c>
      <c r="S16" s="1" t="inlineStr">
        <is>
          <t>-</t>
        </is>
      </c>
    </row>
    <row r="17" hidden="1" s="79">
      <c r="A17" s="74" t="n">
        <v>46133</v>
      </c>
      <c r="B17" s="12" t="inlineStr">
        <is>
          <t>千原</t>
        </is>
      </c>
      <c r="C17" s="20" t="inlineStr">
        <is>
          <t>-</t>
        </is>
      </c>
      <c r="D17" s="20" t="inlineStr">
        <is>
          <t>-</t>
        </is>
      </c>
      <c r="E17" s="20" t="inlineStr">
        <is>
          <t>-</t>
        </is>
      </c>
      <c r="F17" s="12" t="inlineStr">
        <is>
          <t>-</t>
        </is>
      </c>
      <c r="G17" s="12" t="inlineStr">
        <is>
          <t>-</t>
        </is>
      </c>
      <c r="H17" s="12" t="inlineStr">
        <is>
          <t>助手</t>
        </is>
      </c>
      <c r="I17" s="59" t="inlineStr">
        <is>
          <t>EA45</t>
        </is>
      </c>
      <c r="J17" s="1" t="inlineStr">
        <is>
          <t>北陸</t>
        </is>
      </c>
      <c r="K17" s="14" t="inlineStr">
        <is>
          <t>日本ピーエス掲載資料作成（完了）</t>
        </is>
      </c>
      <c r="L17" s="75" t="n">
        <v>2</v>
      </c>
      <c r="M17" s="12" t="inlineStr">
        <is>
          <t>なし</t>
        </is>
      </c>
      <c r="N17" s="76" t="inlineStr">
        <is>
          <t>-</t>
        </is>
      </c>
      <c r="O17" s="12" t="inlineStr">
        <is>
          <t>なし</t>
        </is>
      </c>
      <c r="P17" s="12" t="inlineStr">
        <is>
          <t>-</t>
        </is>
      </c>
      <c r="Q17" s="12" t="inlineStr">
        <is>
          <t>-</t>
        </is>
      </c>
      <c r="R17" s="77" t="inlineStr">
        <is>
          <t>-</t>
        </is>
      </c>
      <c r="S17" s="1" t="inlineStr">
        <is>
          <t>-</t>
        </is>
      </c>
    </row>
    <row r="18" hidden="1" s="79">
      <c r="A18" s="74" t="n">
        <v>46133</v>
      </c>
      <c r="B18" s="12" t="inlineStr">
        <is>
          <t>人見</t>
        </is>
      </c>
      <c r="C18" s="20" t="n">
        <v>0.3541666666666667</v>
      </c>
      <c r="D18" s="20" t="n">
        <v>0.7291666666666666</v>
      </c>
      <c r="E18" s="20" t="n">
        <v>0</v>
      </c>
      <c r="F18" s="12" t="inlineStr">
        <is>
          <t>本社</t>
        </is>
      </c>
      <c r="G18" s="12" t="inlineStr">
        <is>
          <t>本社</t>
        </is>
      </c>
      <c r="H18" s="12" t="inlineStr">
        <is>
          <t>助手</t>
        </is>
      </c>
      <c r="I18" s="12" t="inlineStr">
        <is>
          <t>PR04</t>
        </is>
      </c>
      <c r="J18" s="12" t="inlineStr">
        <is>
          <t>展示会</t>
        </is>
      </c>
      <c r="K18" s="14" t="inlineStr">
        <is>
          <t>第一回空間情報デジタルツインカンファレンス参加</t>
        </is>
      </c>
      <c r="L18" s="75" t="n">
        <v>5</v>
      </c>
      <c r="M18" s="12" t="inlineStr">
        <is>
          <t>なし</t>
        </is>
      </c>
      <c r="N18" s="76" t="inlineStr">
        <is>
          <t>-</t>
        </is>
      </c>
      <c r="O18" s="12" t="inlineStr">
        <is>
          <t>ステップワゴン</t>
        </is>
      </c>
      <c r="P18" s="12" t="inlineStr">
        <is>
          <t>寮</t>
        </is>
      </c>
      <c r="Q18" s="12" t="inlineStr">
        <is>
          <t>会場</t>
        </is>
      </c>
      <c r="R18" s="77" t="n">
        <v>47.2</v>
      </c>
      <c r="S18" s="1" t="inlineStr">
        <is>
          <t>高速</t>
        </is>
      </c>
      <c r="T18" s="1" t="inlineStr">
        <is>
          <t>会場：NLC新大阪８号館、〒532-0011 大阪府大阪市淀川区西中島３丁目９−１３</t>
        </is>
      </c>
    </row>
    <row r="19" hidden="1" s="79">
      <c r="A19" s="74" t="n">
        <v>46133</v>
      </c>
      <c r="B19" s="12" t="inlineStr">
        <is>
          <t>人見</t>
        </is>
      </c>
      <c r="C19" s="20" t="inlineStr">
        <is>
          <t>-</t>
        </is>
      </c>
      <c r="D19" s="20" t="inlineStr">
        <is>
          <t>-</t>
        </is>
      </c>
      <c r="E19" s="20" t="inlineStr">
        <is>
          <t>-</t>
        </is>
      </c>
      <c r="F19" s="12" t="inlineStr">
        <is>
          <t>-</t>
        </is>
      </c>
      <c r="G19" s="12" t="inlineStr">
        <is>
          <t>-</t>
        </is>
      </c>
      <c r="H19" s="12" t="inlineStr">
        <is>
          <t>助手</t>
        </is>
      </c>
      <c r="I19" s="38" t="inlineStr">
        <is>
          <t>開発</t>
        </is>
      </c>
      <c r="J19" s="39" t="inlineStr">
        <is>
          <t>開発関係</t>
        </is>
      </c>
      <c r="K19" s="14" t="inlineStr">
        <is>
          <t>VPNの学習</t>
        </is>
      </c>
      <c r="L19" s="75" t="n">
        <v>3</v>
      </c>
      <c r="M19" s="12" t="inlineStr">
        <is>
          <t>なし</t>
        </is>
      </c>
      <c r="N19" s="76" t="inlineStr">
        <is>
          <t>-</t>
        </is>
      </c>
      <c r="O19" s="12" t="inlineStr">
        <is>
          <t>なし</t>
        </is>
      </c>
      <c r="P19" s="12" t="inlineStr">
        <is>
          <t>-</t>
        </is>
      </c>
      <c r="Q19" s="12" t="inlineStr">
        <is>
          <t>-</t>
        </is>
      </c>
      <c r="R19" s="77" t="inlineStr">
        <is>
          <t>-</t>
        </is>
      </c>
      <c r="S19" s="1" t="inlineStr">
        <is>
          <t>-</t>
        </is>
      </c>
    </row>
    <row r="20" hidden="1" s="79">
      <c r="A20" s="74" t="n">
        <v>46134</v>
      </c>
      <c r="B20" s="12" t="inlineStr">
        <is>
          <t>村上</t>
        </is>
      </c>
      <c r="C20" s="20" t="n">
        <v>0.3541666666666667</v>
      </c>
      <c r="D20" s="20" t="n">
        <v>0.7291666666666666</v>
      </c>
      <c r="E20" s="20" t="n">
        <v>0</v>
      </c>
      <c r="F20" s="12" t="inlineStr">
        <is>
          <t>本社</t>
        </is>
      </c>
      <c r="G20" s="12" t="inlineStr">
        <is>
          <t>本社</t>
        </is>
      </c>
      <c r="H20" s="12" t="inlineStr">
        <is>
          <t>助手</t>
        </is>
      </c>
      <c r="I20" s="1" t="inlineStr">
        <is>
          <t>事務</t>
        </is>
      </c>
      <c r="J20" s="1" t="inlineStr">
        <is>
          <t>事務</t>
        </is>
      </c>
      <c r="K20" s="14" t="inlineStr">
        <is>
          <t>20日締め出面作成、CPDS提出写真撮影、扶養非該当手続き、メール対応他</t>
        </is>
      </c>
      <c r="L20" s="75" t="n">
        <v>7</v>
      </c>
      <c r="M20" s="12" t="inlineStr">
        <is>
          <t>なし</t>
        </is>
      </c>
      <c r="N20" s="76" t="inlineStr">
        <is>
          <t>-</t>
        </is>
      </c>
      <c r="O20" s="12" t="inlineStr">
        <is>
          <t>なし</t>
        </is>
      </c>
      <c r="P20" s="12" t="inlineStr">
        <is>
          <t>-</t>
        </is>
      </c>
      <c r="Q20" s="12" t="inlineStr">
        <is>
          <t>-</t>
        </is>
      </c>
      <c r="R20" s="77" t="inlineStr">
        <is>
          <t>-</t>
        </is>
      </c>
      <c r="S20" s="1" t="inlineStr">
        <is>
          <t>-</t>
        </is>
      </c>
    </row>
    <row r="21" hidden="1" s="79">
      <c r="A21" s="74" t="n">
        <v>46134</v>
      </c>
      <c r="B21" s="12" t="inlineStr">
        <is>
          <t>村上</t>
        </is>
      </c>
      <c r="C21" s="20" t="inlineStr">
        <is>
          <t>-</t>
        </is>
      </c>
      <c r="D21" s="20" t="inlineStr">
        <is>
          <t>-</t>
        </is>
      </c>
      <c r="E21" s="20" t="inlineStr">
        <is>
          <t>-</t>
        </is>
      </c>
      <c r="F21" s="12" t="inlineStr">
        <is>
          <t>-</t>
        </is>
      </c>
      <c r="G21" s="12" t="inlineStr">
        <is>
          <t>-</t>
        </is>
      </c>
      <c r="H21" s="12" t="inlineStr">
        <is>
          <t>助手</t>
        </is>
      </c>
      <c r="I21" s="59" t="inlineStr">
        <is>
          <t>営業</t>
        </is>
      </c>
      <c r="J21" s="1" t="inlineStr">
        <is>
          <t>営業</t>
        </is>
      </c>
      <c r="K21" s="14" t="inlineStr">
        <is>
          <t>京都産業21来社</t>
        </is>
      </c>
      <c r="L21" s="75" t="n">
        <v>1</v>
      </c>
      <c r="M21" s="12" t="inlineStr">
        <is>
          <t>なし</t>
        </is>
      </c>
      <c r="N21" s="76" t="inlineStr">
        <is>
          <t>-</t>
        </is>
      </c>
      <c r="O21" s="12" t="inlineStr">
        <is>
          <t>なし</t>
        </is>
      </c>
      <c r="P21" s="12" t="inlineStr">
        <is>
          <t>-</t>
        </is>
      </c>
      <c r="Q21" s="12" t="inlineStr">
        <is>
          <t>-</t>
        </is>
      </c>
      <c r="R21" s="77" t="inlineStr">
        <is>
          <t>-</t>
        </is>
      </c>
      <c r="S21" s="1" t="inlineStr">
        <is>
          <t>-</t>
        </is>
      </c>
    </row>
    <row r="22" hidden="1" s="79">
      <c r="A22" s="74" t="n">
        <v>46134</v>
      </c>
      <c r="B22" s="12" t="inlineStr">
        <is>
          <t>天野</t>
        </is>
      </c>
      <c r="C22" s="20" t="n">
        <v>0.3541666666666667</v>
      </c>
      <c r="D22" s="20" t="n">
        <v>0.7291666666666666</v>
      </c>
      <c r="E22" s="20" t="n">
        <v>0</v>
      </c>
      <c r="F22" s="12" t="inlineStr">
        <is>
          <t>本社</t>
        </is>
      </c>
      <c r="G22" s="12" t="inlineStr">
        <is>
          <t>本社</t>
        </is>
      </c>
      <c r="H22" s="12" t="inlineStr">
        <is>
          <t>助手</t>
        </is>
      </c>
      <c r="I22" s="59" t="inlineStr">
        <is>
          <t>EA134</t>
        </is>
      </c>
      <c r="J22" s="1" t="inlineStr">
        <is>
          <t>教材作成</t>
        </is>
      </c>
      <c r="K22" s="14" t="inlineStr">
        <is>
          <t>Revit資料の添削</t>
        </is>
      </c>
      <c r="L22" s="75" t="n">
        <v>8</v>
      </c>
      <c r="M22" s="12" t="inlineStr">
        <is>
          <t>AUTODESK</t>
        </is>
      </c>
      <c r="N22" s="76" t="n">
        <v>1750</v>
      </c>
      <c r="O22" s="12" t="inlineStr">
        <is>
          <t>なし</t>
        </is>
      </c>
      <c r="P22" s="12" t="inlineStr">
        <is>
          <t>-</t>
        </is>
      </c>
      <c r="Q22" s="12" t="inlineStr">
        <is>
          <t>-</t>
        </is>
      </c>
      <c r="R22" s="77" t="inlineStr">
        <is>
          <t>-</t>
        </is>
      </c>
      <c r="S22" s="1" t="inlineStr">
        <is>
          <t>-</t>
        </is>
      </c>
    </row>
    <row r="23" hidden="1" s="79">
      <c r="A23" s="74" t="n">
        <v>46133</v>
      </c>
      <c r="B23" s="12" t="inlineStr">
        <is>
          <t>内藤</t>
        </is>
      </c>
      <c r="C23" s="20" t="n">
        <v>0.3541666666666667</v>
      </c>
      <c r="D23" s="20" t="n">
        <v>0.7291666666666666</v>
      </c>
      <c r="E23" s="20" t="n">
        <v>0</v>
      </c>
      <c r="F23" s="12" t="inlineStr">
        <is>
          <t>本社</t>
        </is>
      </c>
      <c r="G23" s="12" t="inlineStr">
        <is>
          <t>本社</t>
        </is>
      </c>
      <c r="H23" s="12" t="inlineStr">
        <is>
          <t>助手</t>
        </is>
      </c>
      <c r="I23" s="60" t="inlineStr">
        <is>
          <t>EA156</t>
        </is>
      </c>
      <c r="J23" s="61" t="inlineStr">
        <is>
          <t>R7寺田拡幅</t>
        </is>
      </c>
      <c r="K23" s="38" t="inlineStr">
        <is>
          <t>現地　ガウシアン計測1回目</t>
        </is>
      </c>
      <c r="L23" s="75" t="n">
        <v>8</v>
      </c>
      <c r="M23" s="12" t="inlineStr">
        <is>
          <t>なし</t>
        </is>
      </c>
      <c r="N23" s="76" t="inlineStr">
        <is>
          <t>-</t>
        </is>
      </c>
      <c r="O23" s="12" t="inlineStr">
        <is>
          <t>ハイエース</t>
        </is>
      </c>
      <c r="P23" s="12" t="inlineStr">
        <is>
          <t>本社</t>
        </is>
      </c>
      <c r="Q23" s="12" t="inlineStr">
        <is>
          <t>現場</t>
        </is>
      </c>
      <c r="R23" s="77" t="n">
        <v>20</v>
      </c>
      <c r="S23" s="1" t="inlineStr">
        <is>
          <t>下道</t>
        </is>
      </c>
    </row>
    <row r="24" hidden="1" s="79">
      <c r="A24" s="74" t="n">
        <v>46134</v>
      </c>
      <c r="B24" s="12" t="inlineStr">
        <is>
          <t>内藤</t>
        </is>
      </c>
      <c r="C24" s="20" t="n">
        <v>0.3541666666666667</v>
      </c>
      <c r="D24" s="20" t="n">
        <v>0.7291666666666666</v>
      </c>
      <c r="E24" s="20" t="n">
        <v>0</v>
      </c>
      <c r="F24" s="12" t="inlineStr">
        <is>
          <t>本社</t>
        </is>
      </c>
      <c r="G24" s="12" t="inlineStr">
        <is>
          <t>本社</t>
        </is>
      </c>
      <c r="H24" s="12" t="inlineStr">
        <is>
          <t>助手</t>
        </is>
      </c>
      <c r="I24" s="1" t="inlineStr">
        <is>
          <t>VT01</t>
        </is>
      </c>
      <c r="J24" s="1" t="inlineStr">
        <is>
          <t>駐在所</t>
        </is>
      </c>
      <c r="K24" s="14" t="inlineStr">
        <is>
          <t>ベトナムオンライン</t>
        </is>
      </c>
      <c r="L24" s="75" t="n">
        <v>0.5</v>
      </c>
      <c r="M24" s="12" t="inlineStr">
        <is>
          <t>なし</t>
        </is>
      </c>
      <c r="N24" s="76" t="inlineStr">
        <is>
          <t>-</t>
        </is>
      </c>
      <c r="O24" s="12" t="inlineStr">
        <is>
          <t>なし</t>
        </is>
      </c>
      <c r="P24" s="12" t="inlineStr">
        <is>
          <t>-</t>
        </is>
      </c>
      <c r="Q24" s="12" t="inlineStr">
        <is>
          <t>-</t>
        </is>
      </c>
      <c r="R24" s="77" t="inlineStr">
        <is>
          <t>-</t>
        </is>
      </c>
      <c r="S24" s="1" t="inlineStr">
        <is>
          <t>-</t>
        </is>
      </c>
    </row>
    <row r="25" hidden="1" s="79">
      <c r="A25" s="74" t="n">
        <v>46134</v>
      </c>
      <c r="B25" s="12" t="inlineStr">
        <is>
          <t>内藤</t>
        </is>
      </c>
      <c r="C25" s="20" t="inlineStr">
        <is>
          <t>-</t>
        </is>
      </c>
      <c r="D25" s="20" t="inlineStr">
        <is>
          <t>-</t>
        </is>
      </c>
      <c r="E25" s="20" t="inlineStr">
        <is>
          <t>-</t>
        </is>
      </c>
      <c r="F25" s="12" t="inlineStr">
        <is>
          <t>-</t>
        </is>
      </c>
      <c r="G25" s="12" t="inlineStr">
        <is>
          <t>-</t>
        </is>
      </c>
      <c r="H25" s="12" t="inlineStr">
        <is>
          <t>助手</t>
        </is>
      </c>
      <c r="I25" s="59" t="inlineStr">
        <is>
          <t>EA105</t>
        </is>
      </c>
      <c r="J25" s="1" t="inlineStr">
        <is>
          <t>鳥居水門</t>
        </is>
      </c>
      <c r="K25" s="14" t="inlineStr">
        <is>
          <t>BIM/CIMフォルダ(港湾編)の作成および付属資料の作成</t>
        </is>
      </c>
      <c r="L25" s="75" t="n">
        <v>6</v>
      </c>
      <c r="M25" s="12" t="inlineStr">
        <is>
          <t>AUTODESK</t>
        </is>
      </c>
      <c r="N25" s="76" t="n">
        <v>1750</v>
      </c>
      <c r="O25" s="12" t="inlineStr">
        <is>
          <t>なし</t>
        </is>
      </c>
      <c r="P25" s="12" t="inlineStr">
        <is>
          <t>-</t>
        </is>
      </c>
      <c r="Q25" s="12" t="inlineStr">
        <is>
          <t>-</t>
        </is>
      </c>
      <c r="R25" s="77" t="inlineStr">
        <is>
          <t>-</t>
        </is>
      </c>
      <c r="S25" s="1" t="inlineStr">
        <is>
          <t>-</t>
        </is>
      </c>
    </row>
    <row r="26" hidden="1" s="79">
      <c r="A26" s="74" t="n">
        <v>46134</v>
      </c>
      <c r="B26" s="12" t="inlineStr">
        <is>
          <t>内藤</t>
        </is>
      </c>
      <c r="C26" s="20" t="inlineStr">
        <is>
          <t>-</t>
        </is>
      </c>
      <c r="D26" s="20" t="inlineStr">
        <is>
          <t>-</t>
        </is>
      </c>
      <c r="E26" s="20" t="inlineStr">
        <is>
          <t>-</t>
        </is>
      </c>
      <c r="F26" s="12" t="inlineStr">
        <is>
          <t>-</t>
        </is>
      </c>
      <c r="G26" s="12" t="inlineStr">
        <is>
          <t>-</t>
        </is>
      </c>
      <c r="H26" s="12" t="inlineStr">
        <is>
          <t>助手</t>
        </is>
      </c>
      <c r="I26" s="59" t="inlineStr">
        <is>
          <t>EA156</t>
        </is>
      </c>
      <c r="J26" s="1" t="inlineStr">
        <is>
          <t>R7寺田拡幅</t>
        </is>
      </c>
      <c r="K26" s="14" t="inlineStr">
        <is>
          <t>ガウシアン　解析データの確認</t>
        </is>
      </c>
      <c r="L26" s="75" t="n">
        <v>0.5</v>
      </c>
      <c r="M26" s="12" t="inlineStr">
        <is>
          <t>なし</t>
        </is>
      </c>
      <c r="N26" s="76" t="inlineStr">
        <is>
          <t>-</t>
        </is>
      </c>
      <c r="O26" s="12" t="inlineStr">
        <is>
          <t>なし</t>
        </is>
      </c>
      <c r="P26" s="12" t="inlineStr">
        <is>
          <t>-</t>
        </is>
      </c>
      <c r="Q26" s="12" t="inlineStr">
        <is>
          <t>-</t>
        </is>
      </c>
      <c r="R26" s="77" t="inlineStr">
        <is>
          <t>-</t>
        </is>
      </c>
      <c r="S26" s="1" t="inlineStr">
        <is>
          <t>-</t>
        </is>
      </c>
    </row>
    <row r="27" hidden="1" s="79">
      <c r="A27" s="74" t="n">
        <v>46134</v>
      </c>
      <c r="B27" s="12" t="inlineStr">
        <is>
          <t>内藤</t>
        </is>
      </c>
      <c r="C27" s="20" t="inlineStr">
        <is>
          <t>-</t>
        </is>
      </c>
      <c r="D27" s="20" t="inlineStr">
        <is>
          <t>-</t>
        </is>
      </c>
      <c r="E27" s="20" t="inlineStr">
        <is>
          <t>-</t>
        </is>
      </c>
      <c r="F27" s="12" t="inlineStr">
        <is>
          <t>-</t>
        </is>
      </c>
      <c r="G27" s="12" t="inlineStr">
        <is>
          <t>-</t>
        </is>
      </c>
      <c r="H27" s="12" t="inlineStr">
        <is>
          <t>助手</t>
        </is>
      </c>
      <c r="I27" s="59" t="inlineStr">
        <is>
          <t>EA157</t>
        </is>
      </c>
      <c r="J27" s="1" t="inlineStr">
        <is>
          <t>蛙ヶ谷基準点</t>
        </is>
      </c>
      <c r="K27" s="14" t="inlineStr">
        <is>
          <t>現地計測の日程調整</t>
        </is>
      </c>
      <c r="L27" s="75" t="n">
        <v>0.5</v>
      </c>
      <c r="M27" s="12" t="inlineStr">
        <is>
          <t>なし</t>
        </is>
      </c>
      <c r="N27" s="76" t="inlineStr">
        <is>
          <t>-</t>
        </is>
      </c>
      <c r="O27" s="12" t="inlineStr">
        <is>
          <t>なし</t>
        </is>
      </c>
      <c r="P27" s="12" t="inlineStr">
        <is>
          <t>-</t>
        </is>
      </c>
      <c r="Q27" s="12" t="inlineStr">
        <is>
          <t>-</t>
        </is>
      </c>
      <c r="R27" s="77" t="inlineStr">
        <is>
          <t>-</t>
        </is>
      </c>
      <c r="S27" s="1" t="inlineStr">
        <is>
          <t>-</t>
        </is>
      </c>
    </row>
    <row r="28" hidden="1" s="79">
      <c r="A28" s="74" t="n">
        <v>46134</v>
      </c>
      <c r="B28" s="12" t="inlineStr">
        <is>
          <t>内藤</t>
        </is>
      </c>
      <c r="C28" s="20" t="inlineStr">
        <is>
          <t>-</t>
        </is>
      </c>
      <c r="D28" s="20" t="inlineStr">
        <is>
          <t>-</t>
        </is>
      </c>
      <c r="E28" s="20" t="inlineStr">
        <is>
          <t>-</t>
        </is>
      </c>
      <c r="F28" s="12" t="inlineStr">
        <is>
          <t>-</t>
        </is>
      </c>
      <c r="G28" s="12" t="inlineStr">
        <is>
          <t>-</t>
        </is>
      </c>
      <c r="H28" s="12" t="inlineStr">
        <is>
          <t>助手</t>
        </is>
      </c>
      <c r="I28" s="59" t="inlineStr">
        <is>
          <t>EA158</t>
        </is>
      </c>
      <c r="J28" s="1" t="inlineStr">
        <is>
          <t>大熊町橋梁点検</t>
        </is>
      </c>
      <c r="K28" s="14" t="inlineStr">
        <is>
          <t>SARUTAHIKO 資料の修正</t>
        </is>
      </c>
      <c r="L28" s="75" t="n">
        <v>0.5</v>
      </c>
      <c r="M28" s="12" t="inlineStr">
        <is>
          <t>なし</t>
        </is>
      </c>
      <c r="N28" s="76" t="inlineStr">
        <is>
          <t>-</t>
        </is>
      </c>
      <c r="O28" s="12" t="inlineStr">
        <is>
          <t>なし</t>
        </is>
      </c>
      <c r="P28" s="12" t="inlineStr">
        <is>
          <t>-</t>
        </is>
      </c>
      <c r="Q28" s="12" t="inlineStr">
        <is>
          <t>-</t>
        </is>
      </c>
      <c r="R28" s="77" t="inlineStr">
        <is>
          <t>-</t>
        </is>
      </c>
      <c r="S28" s="1" t="inlineStr">
        <is>
          <t>-</t>
        </is>
      </c>
    </row>
    <row r="29" hidden="1" s="79">
      <c r="A29" s="74" t="n">
        <v>46134</v>
      </c>
      <c r="B29" s="12" t="inlineStr">
        <is>
          <t>金本</t>
        </is>
      </c>
      <c r="C29" s="20" t="n">
        <v>0.3541666666666667</v>
      </c>
      <c r="D29" s="20" t="n">
        <v>0.7291666666666666</v>
      </c>
      <c r="E29" s="20" t="n">
        <v>0</v>
      </c>
      <c r="F29" s="12" t="inlineStr">
        <is>
          <t>本社</t>
        </is>
      </c>
      <c r="G29" s="12" t="inlineStr">
        <is>
          <t>本社</t>
        </is>
      </c>
      <c r="H29" s="12" t="inlineStr">
        <is>
          <t>助手</t>
        </is>
      </c>
      <c r="I29" s="12" t="inlineStr">
        <is>
          <t>研修</t>
        </is>
      </c>
      <c r="J29" s="12" t="inlineStr">
        <is>
          <t>研修</t>
        </is>
      </c>
      <c r="K29" s="38" t="inlineStr">
        <is>
          <t>社内３DCAD講習 (CPDS認定講習)</t>
        </is>
      </c>
      <c r="L29" s="75" t="n">
        <v>8</v>
      </c>
      <c r="M29" s="12" t="inlineStr">
        <is>
          <t>AUTODESK</t>
        </is>
      </c>
      <c r="N29" s="76" t="n">
        <v>1750</v>
      </c>
      <c r="O29" s="12" t="inlineStr">
        <is>
          <t>なし</t>
        </is>
      </c>
      <c r="P29" s="12" t="inlineStr">
        <is>
          <t>-</t>
        </is>
      </c>
      <c r="Q29" s="12" t="inlineStr">
        <is>
          <t>-</t>
        </is>
      </c>
      <c r="R29" s="77" t="inlineStr">
        <is>
          <t>-</t>
        </is>
      </c>
      <c r="S29" s="1" t="inlineStr">
        <is>
          <t>-</t>
        </is>
      </c>
    </row>
    <row r="30" hidden="1" s="79">
      <c r="A30" s="74" t="n">
        <v>46134</v>
      </c>
      <c r="B30" s="12" t="inlineStr">
        <is>
          <t>フック</t>
        </is>
      </c>
      <c r="C30" s="20" t="n">
        <v>0.3541666666666667</v>
      </c>
      <c r="D30" s="20" t="n">
        <v>0.7291666666666666</v>
      </c>
      <c r="E30" s="20" t="n">
        <v>0</v>
      </c>
      <c r="F30" s="12" t="inlineStr">
        <is>
          <t>本社</t>
        </is>
      </c>
      <c r="G30" s="12" t="inlineStr">
        <is>
          <t>本社</t>
        </is>
      </c>
      <c r="H30" s="12" t="inlineStr">
        <is>
          <t>助手</t>
        </is>
      </c>
      <c r="I30" s="12" t="inlineStr">
        <is>
          <t>研修</t>
        </is>
      </c>
      <c r="J30" s="12" t="inlineStr">
        <is>
          <t>研修</t>
        </is>
      </c>
      <c r="K30" s="38" t="inlineStr">
        <is>
          <t>社内３DCAD講習 (CPDS認定講習)</t>
        </is>
      </c>
      <c r="L30" s="75" t="n">
        <v>8</v>
      </c>
      <c r="M30" s="12" t="inlineStr">
        <is>
          <t>AUTODESK</t>
        </is>
      </c>
      <c r="N30" s="76" t="n">
        <v>1750</v>
      </c>
      <c r="O30" s="12" t="inlineStr">
        <is>
          <t>なし</t>
        </is>
      </c>
      <c r="P30" s="12" t="inlineStr">
        <is>
          <t>-</t>
        </is>
      </c>
      <c r="Q30" s="12" t="inlineStr">
        <is>
          <t>-</t>
        </is>
      </c>
      <c r="R30" s="77" t="inlineStr">
        <is>
          <t>-</t>
        </is>
      </c>
      <c r="S30" s="1" t="inlineStr">
        <is>
          <t>-</t>
        </is>
      </c>
    </row>
    <row r="31" hidden="1" s="79">
      <c r="A31" s="74" t="n">
        <v>46134</v>
      </c>
      <c r="B31" s="12" t="inlineStr">
        <is>
          <t>南</t>
        </is>
      </c>
      <c r="C31" s="20" t="n">
        <v>0.3541666666666667</v>
      </c>
      <c r="D31" s="20" t="n">
        <v>0.7291666666666666</v>
      </c>
      <c r="E31" s="20" t="n">
        <v>0</v>
      </c>
      <c r="F31" s="12" t="inlineStr">
        <is>
          <t>本社</t>
        </is>
      </c>
      <c r="G31" s="12" t="inlineStr">
        <is>
          <t>本社</t>
        </is>
      </c>
      <c r="H31" s="12" t="inlineStr">
        <is>
          <t>助手</t>
        </is>
      </c>
      <c r="I31" s="12" t="inlineStr">
        <is>
          <t>研修</t>
        </is>
      </c>
      <c r="J31" s="12" t="inlineStr">
        <is>
          <t>研修</t>
        </is>
      </c>
      <c r="K31" s="38" t="inlineStr">
        <is>
          <t>社内３DCAD講習 (CPDS認定講習)</t>
        </is>
      </c>
      <c r="L31" s="75" t="n">
        <v>8</v>
      </c>
      <c r="M31" s="12" t="inlineStr">
        <is>
          <t>AUTODESK</t>
        </is>
      </c>
      <c r="N31" s="76" t="n">
        <v>1750</v>
      </c>
      <c r="O31" s="12" t="inlineStr">
        <is>
          <t>なし</t>
        </is>
      </c>
      <c r="P31" s="12" t="inlineStr">
        <is>
          <t>-</t>
        </is>
      </c>
      <c r="Q31" s="12" t="inlineStr">
        <is>
          <t>-</t>
        </is>
      </c>
      <c r="R31" s="77" t="inlineStr">
        <is>
          <t>-</t>
        </is>
      </c>
      <c r="S31" s="1" t="inlineStr">
        <is>
          <t>-</t>
        </is>
      </c>
    </row>
    <row r="32" hidden="1" s="79">
      <c r="A32" s="74" t="n">
        <v>46134</v>
      </c>
      <c r="B32" s="12" t="inlineStr">
        <is>
          <t>バタイ</t>
        </is>
      </c>
      <c r="C32" s="20" t="n">
        <v>0.3125</v>
      </c>
      <c r="D32" s="20" t="n">
        <v>0.7083333333333334</v>
      </c>
      <c r="E32" s="20" t="n">
        <v>0.04166666666666666</v>
      </c>
      <c r="F32" s="12" t="inlineStr">
        <is>
          <t>本社</t>
        </is>
      </c>
      <c r="G32" s="12" t="inlineStr">
        <is>
          <t>本社</t>
        </is>
      </c>
      <c r="H32" s="12" t="inlineStr">
        <is>
          <t>助手</t>
        </is>
      </c>
      <c r="I32" s="59" t="inlineStr">
        <is>
          <t>研修</t>
        </is>
      </c>
      <c r="J32" s="1" t="inlineStr">
        <is>
          <t>研修</t>
        </is>
      </c>
      <c r="K32" s="14" t="inlineStr">
        <is>
          <t>REVIT配筋モデルマニュアル作成</t>
        </is>
      </c>
      <c r="L32" s="75" t="n">
        <v>8</v>
      </c>
      <c r="M32" s="12" t="inlineStr">
        <is>
          <t>なし</t>
        </is>
      </c>
      <c r="N32" s="76" t="inlineStr">
        <is>
          <t>-</t>
        </is>
      </c>
      <c r="O32" s="12" t="inlineStr">
        <is>
          <t>なし</t>
        </is>
      </c>
      <c r="P32" s="12" t="inlineStr">
        <is>
          <t>-</t>
        </is>
      </c>
      <c r="Q32" s="12" t="inlineStr">
        <is>
          <t>-</t>
        </is>
      </c>
      <c r="R32" s="77" t="inlineStr">
        <is>
          <t>-</t>
        </is>
      </c>
      <c r="S32" s="1" t="inlineStr">
        <is>
          <t>-</t>
        </is>
      </c>
    </row>
    <row r="33" hidden="1" s="79">
      <c r="A33" s="74" t="n">
        <v>46134</v>
      </c>
      <c r="B33" s="12" t="inlineStr">
        <is>
          <t>ズイ</t>
        </is>
      </c>
      <c r="C33" s="20" t="n">
        <v>0.3125</v>
      </c>
      <c r="D33" s="20" t="n">
        <v>0.7083333333333334</v>
      </c>
      <c r="E33" s="20" t="n">
        <v>0.04166666666666666</v>
      </c>
      <c r="F33" s="12" t="inlineStr">
        <is>
          <t>駐在所</t>
        </is>
      </c>
      <c r="G33" s="12" t="inlineStr">
        <is>
          <t>駐在所</t>
        </is>
      </c>
      <c r="H33" s="12" t="inlineStr">
        <is>
          <t>助手</t>
        </is>
      </c>
      <c r="I33" s="12" t="inlineStr">
        <is>
          <t>EA105</t>
        </is>
      </c>
      <c r="J33" s="12" t="inlineStr">
        <is>
          <t>鳥居水門</t>
        </is>
      </c>
      <c r="K33" s="14" t="inlineStr">
        <is>
          <t>鳥居水門の統合モデを修正</t>
        </is>
      </c>
      <c r="L33" s="75" t="n">
        <v>2</v>
      </c>
      <c r="M33" s="12" t="inlineStr">
        <is>
          <t>AUTODESK</t>
        </is>
      </c>
      <c r="N33" s="76" t="n">
        <v>1750</v>
      </c>
      <c r="O33" s="12" t="inlineStr">
        <is>
          <t>なし</t>
        </is>
      </c>
      <c r="P33" s="12" t="inlineStr">
        <is>
          <t>-</t>
        </is>
      </c>
      <c r="Q33" s="12" t="inlineStr">
        <is>
          <t>-</t>
        </is>
      </c>
      <c r="R33" s="77" t="inlineStr">
        <is>
          <t>-</t>
        </is>
      </c>
      <c r="S33" s="1" t="inlineStr">
        <is>
          <t>-</t>
        </is>
      </c>
    </row>
    <row r="34" hidden="1" s="79">
      <c r="A34" s="74" t="n">
        <v>46134</v>
      </c>
      <c r="B34" s="12" t="inlineStr">
        <is>
          <t>ズイ</t>
        </is>
      </c>
      <c r="C34" s="20" t="inlineStr">
        <is>
          <t>-</t>
        </is>
      </c>
      <c r="D34" s="20" t="inlineStr">
        <is>
          <t>-</t>
        </is>
      </c>
      <c r="E34" s="20" t="inlineStr">
        <is>
          <t>-</t>
        </is>
      </c>
      <c r="F34" s="12" t="inlineStr">
        <is>
          <t>-</t>
        </is>
      </c>
      <c r="G34" s="12" t="inlineStr">
        <is>
          <t>-</t>
        </is>
      </c>
      <c r="H34" s="12" t="inlineStr">
        <is>
          <t>助手</t>
        </is>
      </c>
      <c r="I34" s="12" t="inlineStr">
        <is>
          <t>VT01</t>
        </is>
      </c>
      <c r="J34" s="12" t="inlineStr">
        <is>
          <t>駐在所</t>
        </is>
      </c>
      <c r="K34" s="14" t="inlineStr">
        <is>
          <t>ベトナムオンライン</t>
        </is>
      </c>
      <c r="L34" s="75" t="n">
        <v>0.5</v>
      </c>
      <c r="M34" s="12" t="inlineStr">
        <is>
          <t>なし</t>
        </is>
      </c>
      <c r="N34" s="76" t="inlineStr">
        <is>
          <t>-</t>
        </is>
      </c>
      <c r="O34" s="12" t="inlineStr">
        <is>
          <t>なし</t>
        </is>
      </c>
      <c r="P34" s="12" t="inlineStr">
        <is>
          <t>-</t>
        </is>
      </c>
      <c r="Q34" s="12" t="inlineStr">
        <is>
          <t>-</t>
        </is>
      </c>
      <c r="R34" s="77" t="inlineStr">
        <is>
          <t>-</t>
        </is>
      </c>
      <c r="S34" s="1" t="inlineStr">
        <is>
          <t>-</t>
        </is>
      </c>
    </row>
    <row r="35" hidden="1" s="79">
      <c r="A35" s="74" t="n">
        <v>46134</v>
      </c>
      <c r="B35" s="12" t="inlineStr">
        <is>
          <t>ズイ</t>
        </is>
      </c>
      <c r="C35" s="20" t="inlineStr">
        <is>
          <t>-</t>
        </is>
      </c>
      <c r="D35" s="20" t="inlineStr">
        <is>
          <t>-</t>
        </is>
      </c>
      <c r="E35" s="20" t="inlineStr">
        <is>
          <t>-</t>
        </is>
      </c>
      <c r="F35" s="12" t="inlineStr">
        <is>
          <t>-</t>
        </is>
      </c>
      <c r="G35" s="12" t="inlineStr">
        <is>
          <t>-</t>
        </is>
      </c>
      <c r="H35" s="12" t="inlineStr">
        <is>
          <t>助手</t>
        </is>
      </c>
      <c r="I35" s="59" t="inlineStr">
        <is>
          <t>EA134</t>
        </is>
      </c>
      <c r="J35" s="1" t="inlineStr">
        <is>
          <t>教材作成</t>
        </is>
      </c>
      <c r="K35" s="14" t="inlineStr">
        <is>
          <t>Twinmotionによって施工ステップのガイドを作成</t>
        </is>
      </c>
      <c r="L35" s="75" t="n">
        <v>6</v>
      </c>
      <c r="M35" s="12" t="inlineStr">
        <is>
          <t>AUTODESK</t>
        </is>
      </c>
      <c r="N35" s="76" t="n">
        <v>1750</v>
      </c>
      <c r="O35" s="12" t="inlineStr">
        <is>
          <t>なし</t>
        </is>
      </c>
      <c r="P35" s="12" t="inlineStr">
        <is>
          <t>-</t>
        </is>
      </c>
      <c r="Q35" s="12" t="inlineStr">
        <is>
          <t>-</t>
        </is>
      </c>
      <c r="R35" s="77" t="inlineStr">
        <is>
          <t>-</t>
        </is>
      </c>
      <c r="S35" s="1" t="inlineStr">
        <is>
          <t>-</t>
        </is>
      </c>
    </row>
    <row r="36" hidden="1" s="79">
      <c r="A36" s="74" t="n">
        <v>46134</v>
      </c>
      <c r="B36" s="12" t="inlineStr">
        <is>
          <t>人見</t>
        </is>
      </c>
      <c r="C36" s="20" t="n">
        <v>0.3541666666666667</v>
      </c>
      <c r="D36" s="20" t="n">
        <v>0.7291666666666666</v>
      </c>
      <c r="E36" s="20" t="n">
        <v>0</v>
      </c>
      <c r="F36" s="12" t="inlineStr">
        <is>
          <t>本社</t>
        </is>
      </c>
      <c r="G36" s="12" t="inlineStr">
        <is>
          <t>本社</t>
        </is>
      </c>
      <c r="H36" s="12" t="inlineStr">
        <is>
          <t>助手</t>
        </is>
      </c>
      <c r="I36" s="1" t="inlineStr">
        <is>
          <t>開発</t>
        </is>
      </c>
      <c r="J36" s="1" t="inlineStr">
        <is>
          <t>開発関係</t>
        </is>
      </c>
      <c r="K36" s="14" t="inlineStr">
        <is>
          <t>MK32の接続テスト</t>
        </is>
      </c>
      <c r="L36" s="75" t="n">
        <v>2</v>
      </c>
      <c r="M36" s="12" t="inlineStr">
        <is>
          <t>なし</t>
        </is>
      </c>
      <c r="N36" s="76" t="inlineStr">
        <is>
          <t>-</t>
        </is>
      </c>
      <c r="O36" s="12" t="inlineStr">
        <is>
          <t>なし</t>
        </is>
      </c>
      <c r="P36" s="12" t="inlineStr">
        <is>
          <t>-</t>
        </is>
      </c>
      <c r="Q36" s="12" t="inlineStr">
        <is>
          <t>-</t>
        </is>
      </c>
      <c r="R36" s="77" t="inlineStr">
        <is>
          <t>-</t>
        </is>
      </c>
      <c r="S36" s="1" t="inlineStr">
        <is>
          <t>-</t>
        </is>
      </c>
    </row>
    <row r="37" hidden="1" s="79">
      <c r="A37" s="74" t="n">
        <v>46134</v>
      </c>
      <c r="B37" s="12" t="inlineStr">
        <is>
          <t>人見</t>
        </is>
      </c>
      <c r="C37" s="20" t="inlineStr">
        <is>
          <t>-</t>
        </is>
      </c>
      <c r="D37" s="20" t="inlineStr">
        <is>
          <t>-</t>
        </is>
      </c>
      <c r="E37" s="20" t="inlineStr">
        <is>
          <t>-</t>
        </is>
      </c>
      <c r="F37" s="12" t="inlineStr">
        <is>
          <t>-</t>
        </is>
      </c>
      <c r="G37" s="12" t="inlineStr">
        <is>
          <t>-</t>
        </is>
      </c>
      <c r="H37" s="12" t="inlineStr">
        <is>
          <t>助手</t>
        </is>
      </c>
      <c r="I37" s="12" t="inlineStr">
        <is>
          <t>開発</t>
        </is>
      </c>
      <c r="J37" s="12" t="inlineStr">
        <is>
          <t>開発関係</t>
        </is>
      </c>
      <c r="K37" s="14" t="inlineStr">
        <is>
          <t>VPNの学習</t>
        </is>
      </c>
      <c r="L37" s="75" t="n">
        <v>6</v>
      </c>
      <c r="M37" s="12" t="inlineStr">
        <is>
          <t>なし</t>
        </is>
      </c>
      <c r="N37" s="76" t="inlineStr">
        <is>
          <t>-</t>
        </is>
      </c>
      <c r="O37" s="12" t="inlineStr">
        <is>
          <t>なし</t>
        </is>
      </c>
      <c r="P37" s="12" t="inlineStr">
        <is>
          <t>-</t>
        </is>
      </c>
      <c r="Q37" s="12" t="inlineStr">
        <is>
          <t>-</t>
        </is>
      </c>
      <c r="R37" s="77" t="inlineStr">
        <is>
          <t>-</t>
        </is>
      </c>
      <c r="S37" s="1" t="inlineStr">
        <is>
          <t>-</t>
        </is>
      </c>
    </row>
    <row r="38" hidden="1" s="79">
      <c r="A38" s="74" t="n">
        <v>46133</v>
      </c>
      <c r="B38" s="12" t="inlineStr">
        <is>
          <t>竹本</t>
        </is>
      </c>
      <c r="C38" s="20" t="n">
        <v>0.3541666666666667</v>
      </c>
      <c r="D38" s="20" t="n">
        <v>0.7291666666666666</v>
      </c>
      <c r="E38" s="20" t="n">
        <v>0</v>
      </c>
      <c r="F38" s="20" t="inlineStr">
        <is>
          <t>現場</t>
        </is>
      </c>
      <c r="G38" s="20" t="inlineStr">
        <is>
          <t>現場</t>
        </is>
      </c>
      <c r="H38" s="12" t="inlineStr">
        <is>
          <t>技師</t>
        </is>
      </c>
      <c r="I38" s="12" t="inlineStr">
        <is>
          <t>EA156</t>
        </is>
      </c>
      <c r="J38" s="12" t="inlineStr">
        <is>
          <t>R7寺田拡幅</t>
        </is>
      </c>
      <c r="K38" s="14" t="inlineStr">
        <is>
          <t>現況調査　ガウシアン　既設基準点確認</t>
        </is>
      </c>
      <c r="L38" s="75" t="n">
        <v>8</v>
      </c>
      <c r="M38" s="12" t="inlineStr">
        <is>
          <t>なし</t>
        </is>
      </c>
      <c r="N38" s="76" t="inlineStr">
        <is>
          <t>-</t>
        </is>
      </c>
      <c r="O38" s="12" t="inlineStr">
        <is>
          <t>なし</t>
        </is>
      </c>
      <c r="P38" s="12" t="inlineStr">
        <is>
          <t>-</t>
        </is>
      </c>
      <c r="Q38" s="12" t="inlineStr">
        <is>
          <t>-</t>
        </is>
      </c>
      <c r="R38" s="77" t="inlineStr">
        <is>
          <t>-</t>
        </is>
      </c>
      <c r="S38" s="1" t="inlineStr">
        <is>
          <t>-</t>
        </is>
      </c>
    </row>
    <row r="39" hidden="1" s="79">
      <c r="A39" s="74" t="n">
        <v>46134</v>
      </c>
      <c r="B39" s="12" t="inlineStr">
        <is>
          <t>竹本</t>
        </is>
      </c>
      <c r="C39" s="20" t="n">
        <v>0.5416666666666666</v>
      </c>
      <c r="D39" s="20" t="n">
        <v>0.7083333333333334</v>
      </c>
      <c r="E39" s="20" t="inlineStr">
        <is>
          <t>-05:00</t>
        </is>
      </c>
      <c r="F39" s="12" t="inlineStr">
        <is>
          <t>綾部</t>
        </is>
      </c>
      <c r="G39" s="12" t="inlineStr">
        <is>
          <t>綾部</t>
        </is>
      </c>
      <c r="H39" s="12" t="inlineStr">
        <is>
          <t>技師</t>
        </is>
      </c>
      <c r="I39" s="59" t="inlineStr">
        <is>
          <t>EA156</t>
        </is>
      </c>
      <c r="J39" s="1" t="inlineStr">
        <is>
          <t>R7寺田拡幅</t>
        </is>
      </c>
      <c r="K39" s="14" t="inlineStr">
        <is>
          <t>測量計画書作成「基準点・水準」</t>
        </is>
      </c>
      <c r="L39" s="75" t="n">
        <v>4</v>
      </c>
      <c r="M39" s="12" t="inlineStr">
        <is>
          <t>武蔵</t>
        </is>
      </c>
      <c r="N39" s="76" t="n">
        <v>480</v>
      </c>
      <c r="O39" s="12" t="inlineStr">
        <is>
          <t>なし</t>
        </is>
      </c>
      <c r="P39" s="12" t="inlineStr">
        <is>
          <t>-</t>
        </is>
      </c>
      <c r="Q39" s="12" t="inlineStr">
        <is>
          <t>-</t>
        </is>
      </c>
      <c r="R39" s="77" t="inlineStr">
        <is>
          <t>-</t>
        </is>
      </c>
      <c r="S39" s="1" t="inlineStr">
        <is>
          <t>-</t>
        </is>
      </c>
    </row>
    <row r="40" hidden="1" s="79">
      <c r="A40" s="74" t="n">
        <v>46134</v>
      </c>
      <c r="B40" s="12" t="inlineStr">
        <is>
          <t>タイ</t>
        </is>
      </c>
      <c r="C40" s="20" t="n">
        <v>0.3541666666666667</v>
      </c>
      <c r="D40" s="20" t="n">
        <v>0.7291666666666666</v>
      </c>
      <c r="E40" s="20" t="n">
        <v>0</v>
      </c>
      <c r="F40" s="12" t="inlineStr">
        <is>
          <t>本社</t>
        </is>
      </c>
      <c r="G40" s="12" t="inlineStr">
        <is>
          <t>本社</t>
        </is>
      </c>
      <c r="H40" s="12" t="inlineStr">
        <is>
          <t>助手</t>
        </is>
      </c>
      <c r="I40" s="59" t="inlineStr">
        <is>
          <t>EA105</t>
        </is>
      </c>
      <c r="J40" s="1" t="inlineStr">
        <is>
          <t>鳥居水門</t>
        </is>
      </c>
      <c r="K40" s="14" t="inlineStr">
        <is>
          <t>BIMCIMフォルダ資料の作成</t>
        </is>
      </c>
      <c r="L40" s="75" t="n">
        <v>1</v>
      </c>
      <c r="M40" s="12" t="inlineStr">
        <is>
          <t>AUTODESK</t>
        </is>
      </c>
      <c r="N40" s="76" t="n">
        <v>1750</v>
      </c>
      <c r="O40" s="12" t="inlineStr">
        <is>
          <t>なし</t>
        </is>
      </c>
      <c r="P40" s="12" t="inlineStr">
        <is>
          <t>-</t>
        </is>
      </c>
      <c r="Q40" s="12" t="inlineStr">
        <is>
          <t>-</t>
        </is>
      </c>
      <c r="R40" s="77" t="inlineStr">
        <is>
          <t>-</t>
        </is>
      </c>
      <c r="S40" s="1" t="inlineStr">
        <is>
          <t>-</t>
        </is>
      </c>
    </row>
    <row r="41" hidden="1" s="79">
      <c r="A41" s="74" t="n">
        <v>46134</v>
      </c>
      <c r="B41" s="12" t="inlineStr">
        <is>
          <t>タイ</t>
        </is>
      </c>
      <c r="C41" s="20" t="inlineStr">
        <is>
          <t>-</t>
        </is>
      </c>
      <c r="D41" s="20" t="inlineStr">
        <is>
          <t>-</t>
        </is>
      </c>
      <c r="E41" s="20" t="inlineStr">
        <is>
          <t>-</t>
        </is>
      </c>
      <c r="F41" s="12" t="inlineStr">
        <is>
          <t>-</t>
        </is>
      </c>
      <c r="G41" s="12" t="inlineStr">
        <is>
          <t>-</t>
        </is>
      </c>
      <c r="H41" s="12" t="inlineStr">
        <is>
          <t>助手</t>
        </is>
      </c>
      <c r="I41" s="38" t="inlineStr">
        <is>
          <t>VT01</t>
        </is>
      </c>
      <c r="J41" s="39" t="inlineStr">
        <is>
          <t>駐在所</t>
        </is>
      </c>
      <c r="K41" s="14" t="inlineStr">
        <is>
          <t>ベトナムオンライン</t>
        </is>
      </c>
      <c r="L41" s="75" t="n">
        <v>0.5</v>
      </c>
      <c r="M41" s="12" t="inlineStr">
        <is>
          <t>なし</t>
        </is>
      </c>
      <c r="N41" s="76" t="inlineStr">
        <is>
          <t>-</t>
        </is>
      </c>
      <c r="O41" s="12" t="inlineStr">
        <is>
          <t>なし</t>
        </is>
      </c>
      <c r="P41" s="12" t="inlineStr">
        <is>
          <t>-</t>
        </is>
      </c>
      <c r="Q41" s="12" t="inlineStr">
        <is>
          <t>-</t>
        </is>
      </c>
      <c r="R41" s="77" t="inlineStr">
        <is>
          <t>-</t>
        </is>
      </c>
      <c r="S41" s="1" t="inlineStr">
        <is>
          <t>-</t>
        </is>
      </c>
    </row>
    <row r="42" hidden="1" s="79">
      <c r="A42" s="74" t="n">
        <v>46134</v>
      </c>
      <c r="B42" s="12" t="inlineStr">
        <is>
          <t>タイ</t>
        </is>
      </c>
      <c r="C42" s="20" t="inlineStr">
        <is>
          <t>-</t>
        </is>
      </c>
      <c r="D42" s="20" t="inlineStr">
        <is>
          <t>-</t>
        </is>
      </c>
      <c r="E42" s="20" t="inlineStr">
        <is>
          <t>-</t>
        </is>
      </c>
      <c r="F42" s="12" t="inlineStr">
        <is>
          <t>-</t>
        </is>
      </c>
      <c r="G42" s="12" t="inlineStr">
        <is>
          <t>-</t>
        </is>
      </c>
      <c r="H42" s="12" t="inlineStr">
        <is>
          <t>助手</t>
        </is>
      </c>
      <c r="I42" s="12" t="inlineStr">
        <is>
          <t>EA156</t>
        </is>
      </c>
      <c r="J42" s="12" t="inlineStr">
        <is>
          <t>R7寺田拡幅</t>
        </is>
      </c>
      <c r="K42" s="14" t="inlineStr">
        <is>
          <t>寺田拡幅交差点の3Dモデル作成</t>
        </is>
      </c>
      <c r="L42" s="75" t="n">
        <v>6.5</v>
      </c>
      <c r="M42" s="12" t="inlineStr">
        <is>
          <t>AUTODESK</t>
        </is>
      </c>
      <c r="N42" s="76" t="n">
        <v>1750</v>
      </c>
      <c r="O42" s="12" t="inlineStr">
        <is>
          <t>なし</t>
        </is>
      </c>
      <c r="P42" s="12" t="inlineStr">
        <is>
          <t>-</t>
        </is>
      </c>
      <c r="Q42" s="12" t="inlineStr">
        <is>
          <t>-</t>
        </is>
      </c>
      <c r="R42" s="77" t="inlineStr">
        <is>
          <t>-</t>
        </is>
      </c>
      <c r="S42" s="1" t="inlineStr">
        <is>
          <t>-</t>
        </is>
      </c>
    </row>
    <row r="43">
      <c r="A43" s="74" t="n">
        <v>46135</v>
      </c>
      <c r="B43" s="12" t="inlineStr">
        <is>
          <t>南</t>
        </is>
      </c>
      <c r="C43" s="20" t="n">
        <v>0.3541666666666667</v>
      </c>
      <c r="D43" s="20" t="n">
        <v>0.7291666666666666</v>
      </c>
      <c r="E43" s="20" t="n">
        <v>0</v>
      </c>
      <c r="F43" s="12" t="inlineStr">
        <is>
          <t>本社</t>
        </is>
      </c>
      <c r="G43" s="12" t="inlineStr">
        <is>
          <t>本社</t>
        </is>
      </c>
      <c r="H43" s="12" t="inlineStr">
        <is>
          <t>助手</t>
        </is>
      </c>
      <c r="I43" s="59" t="inlineStr">
        <is>
          <t>開発</t>
        </is>
      </c>
      <c r="J43" s="1" t="inlineStr">
        <is>
          <t>開発関係</t>
        </is>
      </c>
      <c r="K43" s="14" t="inlineStr">
        <is>
          <t>打ち合わせ(VPN解説、錢高組 Revit講習の反省会)</t>
        </is>
      </c>
      <c r="L43" s="75" t="n">
        <v>2</v>
      </c>
      <c r="M43" s="12" t="inlineStr">
        <is>
          <t>なし</t>
        </is>
      </c>
      <c r="N43" s="76" t="inlineStr">
        <is>
          <t>-</t>
        </is>
      </c>
      <c r="O43" s="12" t="inlineStr">
        <is>
          <t>なし</t>
        </is>
      </c>
      <c r="P43" s="12" t="inlineStr">
        <is>
          <t>-</t>
        </is>
      </c>
      <c r="Q43" s="12" t="inlineStr">
        <is>
          <t>-</t>
        </is>
      </c>
      <c r="R43" s="77" t="inlineStr">
        <is>
          <t>-</t>
        </is>
      </c>
      <c r="S43" s="1" t="inlineStr">
        <is>
          <t>-</t>
        </is>
      </c>
    </row>
    <row r="44">
      <c r="A44" s="74" t="n">
        <v>46135</v>
      </c>
      <c r="B44" s="12" t="inlineStr">
        <is>
          <t>南</t>
        </is>
      </c>
      <c r="C44" s="20" t="inlineStr">
        <is>
          <t>-</t>
        </is>
      </c>
      <c r="D44" s="20" t="inlineStr">
        <is>
          <t>-</t>
        </is>
      </c>
      <c r="E44" s="20" t="inlineStr">
        <is>
          <t>-</t>
        </is>
      </c>
      <c r="F44" s="12" t="inlineStr">
        <is>
          <t>-</t>
        </is>
      </c>
      <c r="G44" s="12" t="inlineStr">
        <is>
          <t>-</t>
        </is>
      </c>
      <c r="H44" s="12" t="inlineStr">
        <is>
          <t>助手</t>
        </is>
      </c>
      <c r="I44" s="59" t="inlineStr">
        <is>
          <t>営業</t>
        </is>
      </c>
      <c r="J44" s="1" t="inlineStr">
        <is>
          <t>営業</t>
        </is>
      </c>
      <c r="K44" s="14" t="inlineStr">
        <is>
          <t>9号バックパック式計測の動画編集</t>
        </is>
      </c>
      <c r="L44" s="75" t="n">
        <v>6</v>
      </c>
      <c r="M44" s="12" t="inlineStr">
        <is>
          <t>なし</t>
        </is>
      </c>
      <c r="N44" s="76" t="inlineStr">
        <is>
          <t>-</t>
        </is>
      </c>
      <c r="O44" s="12" t="inlineStr">
        <is>
          <t>なし</t>
        </is>
      </c>
      <c r="P44" s="12" t="inlineStr">
        <is>
          <t>-</t>
        </is>
      </c>
      <c r="Q44" s="12" t="inlineStr">
        <is>
          <t>-</t>
        </is>
      </c>
      <c r="R44" s="77" t="inlineStr">
        <is>
          <t>-</t>
        </is>
      </c>
      <c r="S44" s="1" t="inlineStr">
        <is>
          <t>-</t>
        </is>
      </c>
    </row>
    <row r="45">
      <c r="A45" s="74" t="n">
        <v>46135</v>
      </c>
      <c r="B45" s="12" t="inlineStr">
        <is>
          <t>内藤</t>
        </is>
      </c>
      <c r="C45" s="20" t="n">
        <v>0.3541666666666667</v>
      </c>
      <c r="D45" s="20" t="n">
        <v>0.75</v>
      </c>
      <c r="E45" s="20" t="n">
        <v>0.02083333333333333</v>
      </c>
      <c r="F45" s="12" t="inlineStr">
        <is>
          <t>本社</t>
        </is>
      </c>
      <c r="G45" s="12" t="inlineStr">
        <is>
          <t>本社</t>
        </is>
      </c>
      <c r="H45" s="12" t="inlineStr">
        <is>
          <t>助手</t>
        </is>
      </c>
      <c r="I45" s="12" t="inlineStr">
        <is>
          <t>事務</t>
        </is>
      </c>
      <c r="J45" s="12" t="inlineStr">
        <is>
          <t>事務</t>
        </is>
      </c>
      <c r="K45" s="14" t="inlineStr">
        <is>
          <t>請負業務一覧表の更新</t>
        </is>
      </c>
      <c r="L45" s="75" t="n">
        <v>0.5</v>
      </c>
      <c r="M45" s="12" t="inlineStr">
        <is>
          <t>なし</t>
        </is>
      </c>
      <c r="N45" s="76" t="inlineStr">
        <is>
          <t>-</t>
        </is>
      </c>
      <c r="O45" s="12" t="inlineStr">
        <is>
          <t>なし</t>
        </is>
      </c>
      <c r="P45" s="12" t="inlineStr">
        <is>
          <t>-</t>
        </is>
      </c>
      <c r="Q45" s="12" t="inlineStr">
        <is>
          <t>-</t>
        </is>
      </c>
      <c r="R45" s="77" t="inlineStr">
        <is>
          <t>-</t>
        </is>
      </c>
      <c r="S45" s="1" t="inlineStr">
        <is>
          <t>-</t>
        </is>
      </c>
    </row>
    <row r="46">
      <c r="A46" s="74" t="n">
        <v>46135</v>
      </c>
      <c r="B46" s="12" t="inlineStr">
        <is>
          <t>内藤</t>
        </is>
      </c>
      <c r="C46" s="20" t="inlineStr">
        <is>
          <t>-</t>
        </is>
      </c>
      <c r="D46" s="20" t="inlineStr">
        <is>
          <t>-</t>
        </is>
      </c>
      <c r="E46" s="20" t="inlineStr">
        <is>
          <t>-</t>
        </is>
      </c>
      <c r="F46" s="12" t="inlineStr">
        <is>
          <t>-</t>
        </is>
      </c>
      <c r="G46" s="12" t="inlineStr">
        <is>
          <t>-</t>
        </is>
      </c>
      <c r="H46" s="12" t="inlineStr">
        <is>
          <t>助手</t>
        </is>
      </c>
      <c r="I46" s="12" t="inlineStr">
        <is>
          <t>EA151</t>
        </is>
      </c>
      <c r="J46" s="12" t="inlineStr">
        <is>
          <t>由良川調査</t>
        </is>
      </c>
      <c r="K46" s="14" t="inlineStr">
        <is>
          <t>メール対応（入金について）</t>
        </is>
      </c>
      <c r="L46" s="75" t="n">
        <v>0.5</v>
      </c>
      <c r="M46" s="12" t="inlineStr">
        <is>
          <t>なし</t>
        </is>
      </c>
      <c r="N46" s="76" t="inlineStr">
        <is>
          <t>-</t>
        </is>
      </c>
      <c r="O46" s="12" t="inlineStr">
        <is>
          <t>なし</t>
        </is>
      </c>
      <c r="P46" s="12" t="inlineStr">
        <is>
          <t>-</t>
        </is>
      </c>
      <c r="Q46" s="12" t="inlineStr">
        <is>
          <t>-</t>
        </is>
      </c>
      <c r="R46" s="77" t="inlineStr">
        <is>
          <t>-</t>
        </is>
      </c>
      <c r="S46" s="1" t="inlineStr">
        <is>
          <t>-</t>
        </is>
      </c>
    </row>
    <row r="47">
      <c r="A47" s="74" t="n">
        <v>46135</v>
      </c>
      <c r="B47" s="12" t="inlineStr">
        <is>
          <t>内藤</t>
        </is>
      </c>
      <c r="C47" s="20" t="inlineStr">
        <is>
          <t>-</t>
        </is>
      </c>
      <c r="D47" s="20" t="inlineStr">
        <is>
          <t>-</t>
        </is>
      </c>
      <c r="E47" s="20" t="inlineStr">
        <is>
          <t>-</t>
        </is>
      </c>
      <c r="F47" s="12" t="inlineStr">
        <is>
          <t>-</t>
        </is>
      </c>
      <c r="G47" s="12" t="inlineStr">
        <is>
          <t>-</t>
        </is>
      </c>
      <c r="H47" s="12" t="inlineStr">
        <is>
          <t>助手</t>
        </is>
      </c>
      <c r="I47" s="59" t="inlineStr">
        <is>
          <t>EA45</t>
        </is>
      </c>
      <c r="J47" s="1" t="inlineStr">
        <is>
          <t>北陸</t>
        </is>
      </c>
      <c r="K47" s="14" t="inlineStr">
        <is>
          <t>黒田高架橋 詳細 質問に対しての回答を確認し、メール対応</t>
        </is>
      </c>
      <c r="L47" s="75" t="n">
        <v>0.5</v>
      </c>
      <c r="M47" s="12" t="inlineStr">
        <is>
          <t>なし</t>
        </is>
      </c>
      <c r="N47" s="76" t="inlineStr">
        <is>
          <t>-</t>
        </is>
      </c>
      <c r="O47" s="12" t="inlineStr">
        <is>
          <t>なし</t>
        </is>
      </c>
      <c r="P47" s="12" t="inlineStr">
        <is>
          <t>-</t>
        </is>
      </c>
      <c r="Q47" s="12" t="inlineStr">
        <is>
          <t>-</t>
        </is>
      </c>
      <c r="R47" s="77" t="inlineStr">
        <is>
          <t>-</t>
        </is>
      </c>
      <c r="S47" s="1" t="inlineStr">
        <is>
          <t>-</t>
        </is>
      </c>
    </row>
    <row r="48" hidden="1" s="79">
      <c r="A48" s="74" t="n">
        <v>46134</v>
      </c>
      <c r="B48" s="12" t="inlineStr">
        <is>
          <t>仲</t>
        </is>
      </c>
      <c r="C48" s="20" t="n">
        <v>0.3541666666666667</v>
      </c>
      <c r="D48" s="20" t="n">
        <v>0.7708333333333334</v>
      </c>
      <c r="E48" s="20" t="n">
        <v>0.04166666666666666</v>
      </c>
      <c r="F48" s="12" t="inlineStr">
        <is>
          <t>本社</t>
        </is>
      </c>
      <c r="G48" s="12" t="inlineStr">
        <is>
          <t>本社</t>
        </is>
      </c>
      <c r="H48" s="12" t="inlineStr">
        <is>
          <t>助手</t>
        </is>
      </c>
      <c r="I48" s="38" t="inlineStr">
        <is>
          <t>EA94</t>
        </is>
      </c>
      <c r="J48" s="39" t="inlineStr">
        <is>
          <t>なにわ筋</t>
        </is>
      </c>
      <c r="K48" s="14" t="inlineStr">
        <is>
          <t>錢高組様と打ち合わせ</t>
        </is>
      </c>
      <c r="L48" s="75" t="n">
        <v>5</v>
      </c>
      <c r="M48" s="12" t="inlineStr">
        <is>
          <t>なし</t>
        </is>
      </c>
      <c r="N48" s="76" t="inlineStr">
        <is>
          <t>-</t>
        </is>
      </c>
      <c r="O48" s="12" t="inlineStr">
        <is>
          <t>ステップワゴン</t>
        </is>
      </c>
      <c r="P48" s="12" t="inlineStr">
        <is>
          <t>本社</t>
        </is>
      </c>
      <c r="Q48" s="12" t="inlineStr">
        <is>
          <t>なにわ筋</t>
        </is>
      </c>
      <c r="R48" s="77" t="n">
        <v>53</v>
      </c>
      <c r="S48" s="1" t="inlineStr">
        <is>
          <t>高速</t>
        </is>
      </c>
    </row>
    <row r="49" hidden="1" s="79">
      <c r="A49" s="74" t="n">
        <v>46134</v>
      </c>
      <c r="B49" s="12" t="inlineStr">
        <is>
          <t>仲</t>
        </is>
      </c>
      <c r="C49" s="20" t="inlineStr">
        <is>
          <t>-</t>
        </is>
      </c>
      <c r="D49" s="20" t="inlineStr">
        <is>
          <t>-</t>
        </is>
      </c>
      <c r="E49" s="20" t="inlineStr">
        <is>
          <t>-</t>
        </is>
      </c>
      <c r="F49" s="12" t="inlineStr">
        <is>
          <t>-</t>
        </is>
      </c>
      <c r="G49" s="12" t="inlineStr">
        <is>
          <t>-</t>
        </is>
      </c>
      <c r="H49" s="12" t="inlineStr">
        <is>
          <t>助手</t>
        </is>
      </c>
      <c r="I49" s="59" t="inlineStr">
        <is>
          <t>EA94</t>
        </is>
      </c>
      <c r="J49" s="1" t="inlineStr">
        <is>
          <t>なにわ筋</t>
        </is>
      </c>
      <c r="K49" s="14" t="inlineStr">
        <is>
          <t>KOLC+ラベル表示修正</t>
        </is>
      </c>
      <c r="L49" s="75" t="n">
        <v>2</v>
      </c>
      <c r="M49" s="12" t="inlineStr">
        <is>
          <t>なし</t>
        </is>
      </c>
      <c r="N49" s="76" t="inlineStr">
        <is>
          <t>-</t>
        </is>
      </c>
      <c r="O49" s="12" t="inlineStr">
        <is>
          <t>なし</t>
        </is>
      </c>
      <c r="P49" s="12" t="inlineStr">
        <is>
          <t>-</t>
        </is>
      </c>
      <c r="Q49" s="12" t="inlineStr">
        <is>
          <t>-</t>
        </is>
      </c>
      <c r="R49" s="77" t="inlineStr">
        <is>
          <t>-</t>
        </is>
      </c>
      <c r="S49" s="1" t="inlineStr">
        <is>
          <t>-</t>
        </is>
      </c>
    </row>
    <row r="50" hidden="1" s="79">
      <c r="A50" s="74" t="n">
        <v>46134</v>
      </c>
      <c r="B50" s="12" t="inlineStr">
        <is>
          <t>仲</t>
        </is>
      </c>
      <c r="C50" s="20" t="inlineStr">
        <is>
          <t>-</t>
        </is>
      </c>
      <c r="D50" s="20" t="inlineStr">
        <is>
          <t>-</t>
        </is>
      </c>
      <c r="E50" s="20" t="inlineStr">
        <is>
          <t>-</t>
        </is>
      </c>
      <c r="F50" s="12" t="inlineStr">
        <is>
          <t>-</t>
        </is>
      </c>
      <c r="G50" s="12" t="inlineStr">
        <is>
          <t>-</t>
        </is>
      </c>
      <c r="H50" s="12" t="inlineStr">
        <is>
          <t>助手</t>
        </is>
      </c>
      <c r="I50" s="59" t="inlineStr">
        <is>
          <t>EA156</t>
        </is>
      </c>
      <c r="J50" s="1" t="inlineStr">
        <is>
          <t>R7寺田拡幅</t>
        </is>
      </c>
      <c r="K50" s="14" t="inlineStr">
        <is>
          <t>計測ガウシアン解析</t>
        </is>
      </c>
      <c r="L50" s="75" t="n">
        <v>2</v>
      </c>
      <c r="M50" s="12" t="inlineStr">
        <is>
          <t>Trend-Point</t>
        </is>
      </c>
      <c r="N50" s="76" t="n">
        <v>600</v>
      </c>
      <c r="O50" s="12" t="inlineStr">
        <is>
          <t>なし</t>
        </is>
      </c>
      <c r="P50" s="12" t="inlineStr">
        <is>
          <t>-</t>
        </is>
      </c>
      <c r="Q50" s="12" t="inlineStr">
        <is>
          <t>-</t>
        </is>
      </c>
      <c r="R50" s="77" t="inlineStr">
        <is>
          <t>-</t>
        </is>
      </c>
      <c r="S50" s="1" t="inlineStr">
        <is>
          <t>-</t>
        </is>
      </c>
    </row>
    <row r="51">
      <c r="A51" s="74" t="n">
        <v>46135</v>
      </c>
      <c r="B51" s="12" t="inlineStr">
        <is>
          <t>内藤</t>
        </is>
      </c>
      <c r="C51" s="20" t="inlineStr">
        <is>
          <t>-</t>
        </is>
      </c>
      <c r="D51" s="20" t="inlineStr">
        <is>
          <t>-</t>
        </is>
      </c>
      <c r="E51" s="20" t="inlineStr">
        <is>
          <t>-</t>
        </is>
      </c>
      <c r="F51" s="12" t="inlineStr">
        <is>
          <t>-</t>
        </is>
      </c>
      <c r="G51" s="12" t="inlineStr">
        <is>
          <t>-</t>
        </is>
      </c>
      <c r="H51" s="12" t="inlineStr">
        <is>
          <t>助手</t>
        </is>
      </c>
      <c r="I51" s="12" t="inlineStr">
        <is>
          <t>EA105</t>
        </is>
      </c>
      <c r="J51" s="12" t="inlineStr">
        <is>
          <t>鳥居水門</t>
        </is>
      </c>
      <c r="K51" s="14" t="inlineStr">
        <is>
          <t>BIM/CIMフォルダの納品</t>
        </is>
      </c>
      <c r="L51" s="75" t="n">
        <v>1</v>
      </c>
      <c r="M51" s="12" t="inlineStr">
        <is>
          <t>なし</t>
        </is>
      </c>
      <c r="N51" s="76" t="inlineStr">
        <is>
          <t>-</t>
        </is>
      </c>
      <c r="O51" s="12" t="inlineStr">
        <is>
          <t>なし</t>
        </is>
      </c>
      <c r="P51" s="12" t="inlineStr">
        <is>
          <t>-</t>
        </is>
      </c>
      <c r="Q51" s="12" t="inlineStr">
        <is>
          <t>-</t>
        </is>
      </c>
      <c r="R51" s="77" t="inlineStr">
        <is>
          <t>-</t>
        </is>
      </c>
      <c r="S51" s="1" t="inlineStr">
        <is>
          <t>-</t>
        </is>
      </c>
    </row>
    <row r="52">
      <c r="A52" s="74" t="n">
        <v>46135</v>
      </c>
      <c r="B52" s="12" t="inlineStr">
        <is>
          <t>内藤</t>
        </is>
      </c>
      <c r="C52" s="20" t="inlineStr">
        <is>
          <t>-</t>
        </is>
      </c>
      <c r="D52" s="20" t="inlineStr">
        <is>
          <t>-</t>
        </is>
      </c>
      <c r="E52" s="20" t="inlineStr">
        <is>
          <t>-</t>
        </is>
      </c>
      <c r="F52" s="12" t="inlineStr">
        <is>
          <t>-</t>
        </is>
      </c>
      <c r="G52" s="12" t="inlineStr">
        <is>
          <t>-</t>
        </is>
      </c>
      <c r="H52" s="12" t="inlineStr">
        <is>
          <t>助手</t>
        </is>
      </c>
      <c r="I52" s="12" t="inlineStr">
        <is>
          <t>EA106</t>
        </is>
      </c>
      <c r="J52" s="12" t="inlineStr">
        <is>
          <t>国道9号京都西</t>
        </is>
      </c>
      <c r="K52" s="14" t="inlineStr">
        <is>
          <t>バックパック式TLSに関する動画編集の補助</t>
        </is>
      </c>
      <c r="L52" s="75" t="n">
        <v>1.5</v>
      </c>
      <c r="M52" s="12" t="inlineStr">
        <is>
          <t>なし</t>
        </is>
      </c>
      <c r="N52" s="76" t="inlineStr">
        <is>
          <t>-</t>
        </is>
      </c>
      <c r="O52" s="12" t="inlineStr">
        <is>
          <t>なし</t>
        </is>
      </c>
      <c r="P52" s="12" t="inlineStr">
        <is>
          <t>-</t>
        </is>
      </c>
      <c r="Q52" s="12" t="inlineStr">
        <is>
          <t>-</t>
        </is>
      </c>
      <c r="R52" s="77" t="inlineStr">
        <is>
          <t>-</t>
        </is>
      </c>
      <c r="S52" s="1" t="inlineStr">
        <is>
          <t>-</t>
        </is>
      </c>
    </row>
    <row r="53">
      <c r="A53" s="74" t="n">
        <v>46135</v>
      </c>
      <c r="B53" s="12" t="inlineStr">
        <is>
          <t>内藤</t>
        </is>
      </c>
      <c r="C53" s="20" t="inlineStr">
        <is>
          <t>-</t>
        </is>
      </c>
      <c r="D53" s="20" t="inlineStr">
        <is>
          <t>-</t>
        </is>
      </c>
      <c r="E53" s="20" t="inlineStr">
        <is>
          <t>-</t>
        </is>
      </c>
      <c r="F53" s="12" t="inlineStr">
        <is>
          <t>-</t>
        </is>
      </c>
      <c r="G53" s="12" t="inlineStr">
        <is>
          <t>-</t>
        </is>
      </c>
      <c r="H53" s="12" t="inlineStr">
        <is>
          <t>助手</t>
        </is>
      </c>
      <c r="I53" s="59" t="inlineStr">
        <is>
          <t>EA134</t>
        </is>
      </c>
      <c r="J53" s="1" t="inlineStr">
        <is>
          <t>教材作成</t>
        </is>
      </c>
      <c r="K53" s="14" t="inlineStr">
        <is>
          <t>錢高組　講習会の報告会など</t>
        </is>
      </c>
      <c r="L53" s="75" t="n">
        <v>2</v>
      </c>
      <c r="M53" s="12" t="inlineStr">
        <is>
          <t>なし</t>
        </is>
      </c>
      <c r="N53" s="76" t="inlineStr">
        <is>
          <t>-</t>
        </is>
      </c>
      <c r="O53" s="12" t="inlineStr">
        <is>
          <t>なし</t>
        </is>
      </c>
      <c r="P53" s="12" t="inlineStr">
        <is>
          <t>-</t>
        </is>
      </c>
      <c r="Q53" s="12" t="inlineStr">
        <is>
          <t>-</t>
        </is>
      </c>
      <c r="R53" s="77" t="inlineStr">
        <is>
          <t>-</t>
        </is>
      </c>
      <c r="S53" s="1" t="inlineStr">
        <is>
          <t>-</t>
        </is>
      </c>
    </row>
    <row r="54">
      <c r="A54" s="74" t="n">
        <v>46135</v>
      </c>
      <c r="B54" s="12" t="inlineStr">
        <is>
          <t>内藤</t>
        </is>
      </c>
      <c r="C54" s="20" t="inlineStr">
        <is>
          <t>-</t>
        </is>
      </c>
      <c r="D54" s="20" t="inlineStr">
        <is>
          <t>-</t>
        </is>
      </c>
      <c r="E54" s="20" t="inlineStr">
        <is>
          <t>-</t>
        </is>
      </c>
      <c r="F54" s="12" t="inlineStr">
        <is>
          <t>-</t>
        </is>
      </c>
      <c r="G54" s="12" t="inlineStr">
        <is>
          <t>-</t>
        </is>
      </c>
      <c r="H54" s="12" t="inlineStr">
        <is>
          <t>助手</t>
        </is>
      </c>
      <c r="I54" s="38" t="inlineStr">
        <is>
          <t>営業</t>
        </is>
      </c>
      <c r="J54" s="39" t="inlineStr">
        <is>
          <t>営業</t>
        </is>
      </c>
      <c r="K54" s="14" t="inlineStr">
        <is>
          <t>事業プランの検討</t>
        </is>
      </c>
      <c r="L54" s="75" t="n">
        <v>1</v>
      </c>
      <c r="M54" s="12" t="inlineStr">
        <is>
          <t>なし</t>
        </is>
      </c>
      <c r="N54" s="76" t="inlineStr">
        <is>
          <t>-</t>
        </is>
      </c>
      <c r="O54" s="12" t="inlineStr">
        <is>
          <t>なし</t>
        </is>
      </c>
      <c r="P54" s="12" t="inlineStr">
        <is>
          <t>-</t>
        </is>
      </c>
      <c r="Q54" s="12" t="inlineStr">
        <is>
          <t>-</t>
        </is>
      </c>
      <c r="R54" s="77" t="inlineStr">
        <is>
          <t>-</t>
        </is>
      </c>
      <c r="S54" s="1" t="inlineStr">
        <is>
          <t>-</t>
        </is>
      </c>
    </row>
    <row r="55">
      <c r="A55" s="74" t="n">
        <v>46135</v>
      </c>
      <c r="B55" s="12" t="inlineStr">
        <is>
          <t>内藤</t>
        </is>
      </c>
      <c r="C55" s="20" t="inlineStr">
        <is>
          <t>-</t>
        </is>
      </c>
      <c r="D55" s="20" t="inlineStr">
        <is>
          <t>-</t>
        </is>
      </c>
      <c r="E55" s="20" t="inlineStr">
        <is>
          <t>-</t>
        </is>
      </c>
      <c r="F55" s="12" t="inlineStr">
        <is>
          <t>-</t>
        </is>
      </c>
      <c r="G55" s="12" t="inlineStr">
        <is>
          <t>-</t>
        </is>
      </c>
      <c r="H55" s="12" t="inlineStr">
        <is>
          <t>助手</t>
        </is>
      </c>
      <c r="I55" s="59" t="inlineStr">
        <is>
          <t>EA157</t>
        </is>
      </c>
      <c r="J55" s="1" t="inlineStr">
        <is>
          <t>蛙ヶ谷基準点</t>
        </is>
      </c>
      <c r="K55" s="14" t="inlineStr">
        <is>
          <t>24日の計測準備</t>
        </is>
      </c>
      <c r="L55" s="75" t="n">
        <v>1</v>
      </c>
      <c r="M55" s="12" t="inlineStr">
        <is>
          <t>なし</t>
        </is>
      </c>
      <c r="N55" s="76" t="inlineStr">
        <is>
          <t>-</t>
        </is>
      </c>
      <c r="O55" s="12" t="inlineStr">
        <is>
          <t>なし</t>
        </is>
      </c>
      <c r="P55" s="12" t="inlineStr">
        <is>
          <t>-</t>
        </is>
      </c>
      <c r="Q55" s="12" t="inlineStr">
        <is>
          <t>-</t>
        </is>
      </c>
      <c r="R55" s="77" t="inlineStr">
        <is>
          <t>-</t>
        </is>
      </c>
      <c r="S55" s="1" t="inlineStr">
        <is>
          <t>-</t>
        </is>
      </c>
    </row>
    <row r="56">
      <c r="A56" s="74" t="n">
        <v>46135</v>
      </c>
      <c r="B56" s="12" t="inlineStr">
        <is>
          <t>天野</t>
        </is>
      </c>
      <c r="C56" s="20" t="n">
        <v>0.3541666666666667</v>
      </c>
      <c r="D56" s="20" t="n">
        <v>0.7291666666666666</v>
      </c>
      <c r="E56" s="20" t="n">
        <v>0</v>
      </c>
      <c r="F56" s="12" t="inlineStr">
        <is>
          <t>本社</t>
        </is>
      </c>
      <c r="G56" s="12" t="inlineStr">
        <is>
          <t>本社</t>
        </is>
      </c>
      <c r="H56" s="12" t="inlineStr">
        <is>
          <t>助手</t>
        </is>
      </c>
      <c r="I56" s="59" t="inlineStr">
        <is>
          <t>開発</t>
        </is>
      </c>
      <c r="J56" s="1" t="inlineStr">
        <is>
          <t>開発関係</t>
        </is>
      </c>
      <c r="K56" s="14" t="inlineStr">
        <is>
          <t>打ち合わせ(人見さんが作ってくれたソフトの説明、錢高組 Revit講習の反省会)</t>
        </is>
      </c>
      <c r="L56" s="75" t="n">
        <v>2</v>
      </c>
      <c r="M56" s="12" t="inlineStr">
        <is>
          <t>なし</t>
        </is>
      </c>
      <c r="N56" s="76" t="inlineStr">
        <is>
          <t>-</t>
        </is>
      </c>
      <c r="O56" s="12" t="inlineStr">
        <is>
          <t>なし</t>
        </is>
      </c>
      <c r="P56" s="12" t="inlineStr">
        <is>
          <t>-</t>
        </is>
      </c>
      <c r="Q56" s="12" t="inlineStr">
        <is>
          <t>-</t>
        </is>
      </c>
      <c r="R56" s="77" t="inlineStr">
        <is>
          <t>-</t>
        </is>
      </c>
      <c r="S56" s="1" t="inlineStr">
        <is>
          <t>-</t>
        </is>
      </c>
    </row>
    <row r="57">
      <c r="A57" s="74" t="n">
        <v>46135</v>
      </c>
      <c r="B57" s="12" t="inlineStr">
        <is>
          <t>天野</t>
        </is>
      </c>
      <c r="C57" s="20" t="inlineStr">
        <is>
          <t>-</t>
        </is>
      </c>
      <c r="D57" s="20" t="inlineStr">
        <is>
          <t>-</t>
        </is>
      </c>
      <c r="E57" s="20" t="inlineStr">
        <is>
          <t>-</t>
        </is>
      </c>
      <c r="F57" s="12" t="inlineStr">
        <is>
          <t>-</t>
        </is>
      </c>
      <c r="G57" s="12" t="inlineStr">
        <is>
          <t>-</t>
        </is>
      </c>
      <c r="H57" s="12" t="inlineStr">
        <is>
          <t>助手</t>
        </is>
      </c>
      <c r="I57" s="59" t="inlineStr">
        <is>
          <t>研修</t>
        </is>
      </c>
      <c r="J57" s="1" t="inlineStr">
        <is>
          <t>研修</t>
        </is>
      </c>
      <c r="K57" s="14" t="inlineStr">
        <is>
          <t>Revit学習　樋門モデル作成</t>
        </is>
      </c>
      <c r="L57" s="75" t="n">
        <v>6</v>
      </c>
      <c r="M57" s="12" t="inlineStr">
        <is>
          <t>AUTODESK</t>
        </is>
      </c>
      <c r="N57" s="76" t="n">
        <v>1750</v>
      </c>
      <c r="O57" s="12" t="inlineStr">
        <is>
          <t>なし</t>
        </is>
      </c>
      <c r="P57" s="12" t="inlineStr">
        <is>
          <t>-</t>
        </is>
      </c>
      <c r="Q57" s="12" t="inlineStr">
        <is>
          <t>-</t>
        </is>
      </c>
      <c r="R57" s="77" t="inlineStr">
        <is>
          <t>-</t>
        </is>
      </c>
      <c r="S57" s="1" t="inlineStr">
        <is>
          <t>-</t>
        </is>
      </c>
    </row>
    <row r="58">
      <c r="A58" s="74" t="n">
        <v>46135</v>
      </c>
      <c r="B58" s="12" t="inlineStr">
        <is>
          <t>仲</t>
        </is>
      </c>
      <c r="C58" s="20" t="n">
        <v>0.3541666666666667</v>
      </c>
      <c r="D58" s="20" t="n">
        <v>0.7291666666666666</v>
      </c>
      <c r="E58" s="20" t="n">
        <v>0</v>
      </c>
      <c r="F58" s="12" t="inlineStr">
        <is>
          <t>本社</t>
        </is>
      </c>
      <c r="G58" s="12" t="inlineStr">
        <is>
          <t>本社</t>
        </is>
      </c>
      <c r="H58" s="12" t="inlineStr">
        <is>
          <t>助手</t>
        </is>
      </c>
      <c r="I58" s="38" t="inlineStr">
        <is>
          <t>EA94</t>
        </is>
      </c>
      <c r="J58" s="39" t="inlineStr">
        <is>
          <t>なにわ筋</t>
        </is>
      </c>
      <c r="K58" s="14" t="inlineStr">
        <is>
          <t>UQWiFi手続き諸々</t>
        </is>
      </c>
      <c r="L58" s="75" t="n">
        <v>2</v>
      </c>
      <c r="M58" s="12" t="inlineStr">
        <is>
          <t>なし</t>
        </is>
      </c>
      <c r="N58" s="76" t="inlineStr">
        <is>
          <t>-</t>
        </is>
      </c>
      <c r="O58" s="12" t="inlineStr">
        <is>
          <t>なし</t>
        </is>
      </c>
      <c r="P58" s="12" t="inlineStr">
        <is>
          <t>-</t>
        </is>
      </c>
      <c r="Q58" s="12" t="inlineStr">
        <is>
          <t>-</t>
        </is>
      </c>
      <c r="R58" s="77" t="inlineStr">
        <is>
          <t>-</t>
        </is>
      </c>
      <c r="S58" s="1" t="inlineStr">
        <is>
          <t>-</t>
        </is>
      </c>
    </row>
    <row r="59">
      <c r="A59" s="74" t="n">
        <v>46135</v>
      </c>
      <c r="B59" s="12" t="inlineStr">
        <is>
          <t>仲</t>
        </is>
      </c>
      <c r="C59" s="20" t="inlineStr">
        <is>
          <t>-</t>
        </is>
      </c>
      <c r="D59" s="20" t="inlineStr">
        <is>
          <t>-</t>
        </is>
      </c>
      <c r="E59" s="20" t="inlineStr">
        <is>
          <t>-</t>
        </is>
      </c>
      <c r="F59" s="12" t="inlineStr">
        <is>
          <t>-</t>
        </is>
      </c>
      <c r="G59" s="12" t="inlineStr">
        <is>
          <t>-</t>
        </is>
      </c>
      <c r="H59" s="12" t="inlineStr">
        <is>
          <t>助手</t>
        </is>
      </c>
      <c r="I59" s="59" t="inlineStr">
        <is>
          <t>EA94</t>
        </is>
      </c>
      <c r="J59" s="1" t="inlineStr">
        <is>
          <t>なにわ筋</t>
        </is>
      </c>
      <c r="K59" s="14" t="inlineStr">
        <is>
          <t>KOLC+ラベル表示修正(EATAP)</t>
        </is>
      </c>
      <c r="L59" s="75" t="n">
        <v>4</v>
      </c>
      <c r="M59" s="12" t="inlineStr">
        <is>
          <t>なし</t>
        </is>
      </c>
      <c r="N59" s="76" t="inlineStr">
        <is>
          <t>-</t>
        </is>
      </c>
      <c r="O59" s="12" t="inlineStr">
        <is>
          <t>なし</t>
        </is>
      </c>
      <c r="P59" s="12" t="inlineStr">
        <is>
          <t>-</t>
        </is>
      </c>
      <c r="Q59" s="12" t="inlineStr">
        <is>
          <t>-</t>
        </is>
      </c>
      <c r="R59" s="77" t="inlineStr">
        <is>
          <t>-</t>
        </is>
      </c>
      <c r="S59" s="1" t="inlineStr">
        <is>
          <t>-</t>
        </is>
      </c>
    </row>
    <row r="60">
      <c r="A60" s="74" t="n">
        <v>46135</v>
      </c>
      <c r="B60" s="12" t="inlineStr">
        <is>
          <t>仲</t>
        </is>
      </c>
      <c r="C60" s="20" t="inlineStr">
        <is>
          <t>-</t>
        </is>
      </c>
      <c r="D60" s="20" t="inlineStr">
        <is>
          <t>-</t>
        </is>
      </c>
      <c r="E60" s="20" t="inlineStr">
        <is>
          <t>-</t>
        </is>
      </c>
      <c r="F60" s="12" t="inlineStr">
        <is>
          <t>-</t>
        </is>
      </c>
      <c r="G60" s="12" t="inlineStr">
        <is>
          <t>-</t>
        </is>
      </c>
      <c r="H60" s="12" t="inlineStr">
        <is>
          <t>助手</t>
        </is>
      </c>
      <c r="I60" s="12" t="inlineStr">
        <is>
          <t>EA157</t>
        </is>
      </c>
      <c r="J60" s="12" t="inlineStr">
        <is>
          <t>蛙ヶ谷基準点</t>
        </is>
      </c>
      <c r="K60" s="14" t="inlineStr">
        <is>
          <t>24日の計測準備</t>
        </is>
      </c>
      <c r="L60" s="75" t="n">
        <v>1</v>
      </c>
      <c r="M60" s="12" t="inlineStr">
        <is>
          <t>なし</t>
        </is>
      </c>
      <c r="N60" s="76" t="inlineStr">
        <is>
          <t>-</t>
        </is>
      </c>
      <c r="O60" s="12" t="inlineStr">
        <is>
          <t>なし</t>
        </is>
      </c>
      <c r="P60" s="12" t="inlineStr">
        <is>
          <t>-</t>
        </is>
      </c>
      <c r="Q60" s="12" t="inlineStr">
        <is>
          <t>-</t>
        </is>
      </c>
      <c r="R60" s="77" t="inlineStr">
        <is>
          <t>-</t>
        </is>
      </c>
      <c r="S60" s="1" t="inlineStr">
        <is>
          <t>-</t>
        </is>
      </c>
    </row>
    <row r="61">
      <c r="A61" s="74" t="n">
        <v>46135</v>
      </c>
      <c r="B61" s="12" t="inlineStr">
        <is>
          <t>仲</t>
        </is>
      </c>
      <c r="C61" s="20" t="inlineStr">
        <is>
          <t>-</t>
        </is>
      </c>
      <c r="D61" s="20" t="inlineStr">
        <is>
          <t>-</t>
        </is>
      </c>
      <c r="E61" s="20" t="inlineStr">
        <is>
          <t>-</t>
        </is>
      </c>
      <c r="F61" s="12" t="inlineStr">
        <is>
          <t>-</t>
        </is>
      </c>
      <c r="G61" s="12" t="inlineStr">
        <is>
          <t>-</t>
        </is>
      </c>
      <c r="H61" s="12" t="inlineStr">
        <is>
          <t>助手</t>
        </is>
      </c>
      <c r="I61" s="38" t="inlineStr">
        <is>
          <t>営業</t>
        </is>
      </c>
      <c r="J61" s="39" t="inlineStr">
        <is>
          <t>営業</t>
        </is>
      </c>
      <c r="K61" s="14" t="inlineStr">
        <is>
          <t>錢高組　講習会の報告会など</t>
        </is>
      </c>
      <c r="L61" s="75" t="n">
        <v>1</v>
      </c>
      <c r="M61" s="12" t="inlineStr">
        <is>
          <t>なし</t>
        </is>
      </c>
      <c r="N61" s="76" t="inlineStr">
        <is>
          <t>-</t>
        </is>
      </c>
      <c r="O61" s="12" t="inlineStr">
        <is>
          <t>なし</t>
        </is>
      </c>
      <c r="P61" s="12" t="inlineStr">
        <is>
          <t>-</t>
        </is>
      </c>
      <c r="Q61" s="12" t="inlineStr">
        <is>
          <t>-</t>
        </is>
      </c>
      <c r="R61" s="77" t="inlineStr">
        <is>
          <t>-</t>
        </is>
      </c>
      <c r="S61" s="1" t="inlineStr">
        <is>
          <t>-</t>
        </is>
      </c>
    </row>
    <row r="62">
      <c r="A62" s="74" t="n">
        <v>46135</v>
      </c>
      <c r="B62" s="12" t="inlineStr">
        <is>
          <t>竹本</t>
        </is>
      </c>
      <c r="C62" s="20" t="n">
        <v>0.3541666666666667</v>
      </c>
      <c r="D62" s="20" t="n">
        <v>0.7291666666666666</v>
      </c>
      <c r="E62" s="20" t="n">
        <v>0</v>
      </c>
      <c r="F62" s="12" t="inlineStr">
        <is>
          <t>現場</t>
        </is>
      </c>
      <c r="G62" s="12" t="inlineStr">
        <is>
          <t>現場</t>
        </is>
      </c>
      <c r="H62" s="12" t="inlineStr">
        <is>
          <t>技師</t>
        </is>
      </c>
      <c r="I62" s="38" t="inlineStr">
        <is>
          <t>EA156</t>
        </is>
      </c>
      <c r="J62" s="39" t="inlineStr">
        <is>
          <t>R7寺田拡幅</t>
        </is>
      </c>
      <c r="K62" s="14" t="inlineStr">
        <is>
          <t>測量計画図作成</t>
        </is>
      </c>
      <c r="L62" s="75" t="n">
        <v>8</v>
      </c>
      <c r="M62" s="12" t="inlineStr">
        <is>
          <t>武蔵</t>
        </is>
      </c>
      <c r="N62" s="76" t="n">
        <v>480</v>
      </c>
      <c r="O62" s="12" t="inlineStr">
        <is>
          <t>なし</t>
        </is>
      </c>
      <c r="P62" s="12" t="inlineStr">
        <is>
          <t>-</t>
        </is>
      </c>
      <c r="Q62" s="12" t="inlineStr">
        <is>
          <t>-</t>
        </is>
      </c>
      <c r="R62" s="77" t="inlineStr">
        <is>
          <t>-</t>
        </is>
      </c>
      <c r="S62" s="1" t="inlineStr">
        <is>
          <t>-</t>
        </is>
      </c>
    </row>
    <row r="63">
      <c r="A63" s="74" t="n">
        <v>46135</v>
      </c>
      <c r="B63" s="12" t="inlineStr">
        <is>
          <t>千原</t>
        </is>
      </c>
      <c r="C63" s="20" t="n">
        <v>0.4166666666666667</v>
      </c>
      <c r="D63" s="20" t="n">
        <v>0.7916666666666666</v>
      </c>
      <c r="E63" s="20" t="n">
        <v>0.0625</v>
      </c>
      <c r="F63" s="12" t="inlineStr">
        <is>
          <t>リモート</t>
        </is>
      </c>
      <c r="G63" s="12" t="inlineStr">
        <is>
          <t>リモート</t>
        </is>
      </c>
      <c r="H63" s="12" t="inlineStr">
        <is>
          <t>助手</t>
        </is>
      </c>
      <c r="I63" s="14" t="inlineStr">
        <is>
          <t>研修</t>
        </is>
      </c>
      <c r="J63" s="12" t="inlineStr">
        <is>
          <t>研修</t>
        </is>
      </c>
      <c r="K63" s="14" t="inlineStr">
        <is>
          <t>Autodesk操作資料テンプレート作成・編集説明書作成</t>
        </is>
      </c>
      <c r="L63" s="75" t="n">
        <v>8</v>
      </c>
      <c r="M63" s="12" t="inlineStr">
        <is>
          <t>なし</t>
        </is>
      </c>
      <c r="N63" s="76" t="inlineStr">
        <is>
          <t>-</t>
        </is>
      </c>
      <c r="O63" s="12" t="inlineStr">
        <is>
          <t>なし</t>
        </is>
      </c>
      <c r="P63" s="12" t="inlineStr">
        <is>
          <t>-</t>
        </is>
      </c>
      <c r="Q63" s="12" t="inlineStr">
        <is>
          <t>-</t>
        </is>
      </c>
      <c r="R63" s="77" t="inlineStr">
        <is>
          <t>-</t>
        </is>
      </c>
      <c r="S63" s="1" t="inlineStr">
        <is>
          <t>-</t>
        </is>
      </c>
    </row>
    <row r="64">
      <c r="A64" s="74" t="n">
        <v>46135</v>
      </c>
      <c r="B64" s="12" t="inlineStr">
        <is>
          <t>人見</t>
        </is>
      </c>
      <c r="C64" s="20" t="n">
        <v>0.3541666666666667</v>
      </c>
      <c r="D64" s="20" t="n">
        <v>0.7291666666666666</v>
      </c>
      <c r="E64" s="20" t="n">
        <v>0</v>
      </c>
      <c r="F64" s="12" t="inlineStr">
        <is>
          <t>本社</t>
        </is>
      </c>
      <c r="G64" s="12" t="inlineStr">
        <is>
          <t>本社</t>
        </is>
      </c>
      <c r="H64" s="12" t="inlineStr">
        <is>
          <t>助手</t>
        </is>
      </c>
      <c r="I64" s="59" t="inlineStr">
        <is>
          <t>開発</t>
        </is>
      </c>
      <c r="J64" s="1" t="inlineStr">
        <is>
          <t>開発関係</t>
        </is>
      </c>
      <c r="K64" s="14" t="inlineStr">
        <is>
          <t>打ち合わせ(VPN解説、錢高組 Revit講習の反省会)</t>
        </is>
      </c>
      <c r="L64" s="75" t="n">
        <v>2</v>
      </c>
      <c r="M64" s="12" t="inlineStr">
        <is>
          <t>なし</t>
        </is>
      </c>
      <c r="N64" s="76" t="inlineStr">
        <is>
          <t>-</t>
        </is>
      </c>
      <c r="O64" s="12" t="inlineStr">
        <is>
          <t>なし</t>
        </is>
      </c>
      <c r="P64" s="12" t="inlineStr">
        <is>
          <t>-</t>
        </is>
      </c>
      <c r="Q64" s="12" t="inlineStr">
        <is>
          <t>-</t>
        </is>
      </c>
      <c r="R64" s="77" t="inlineStr">
        <is>
          <t>-</t>
        </is>
      </c>
      <c r="S64" s="1" t="inlineStr">
        <is>
          <t>-</t>
        </is>
      </c>
    </row>
    <row r="65">
      <c r="A65" s="74" t="n">
        <v>46135</v>
      </c>
      <c r="B65" s="12" t="inlineStr">
        <is>
          <t>人見</t>
        </is>
      </c>
      <c r="C65" s="20" t="inlineStr">
        <is>
          <t>-</t>
        </is>
      </c>
      <c r="D65" s="20" t="inlineStr">
        <is>
          <t>-</t>
        </is>
      </c>
      <c r="E65" s="20" t="inlineStr">
        <is>
          <t>-</t>
        </is>
      </c>
      <c r="F65" s="12" t="inlineStr">
        <is>
          <t>-</t>
        </is>
      </c>
      <c r="G65" s="12" t="inlineStr">
        <is>
          <t>-</t>
        </is>
      </c>
      <c r="H65" s="12" t="inlineStr">
        <is>
          <t>助手</t>
        </is>
      </c>
      <c r="I65" s="59" t="inlineStr">
        <is>
          <t>事務</t>
        </is>
      </c>
      <c r="J65" s="1" t="inlineStr">
        <is>
          <t>事務</t>
        </is>
      </c>
      <c r="K65" s="14" t="inlineStr">
        <is>
          <t>第一土木HP更新</t>
        </is>
      </c>
      <c r="L65" s="75" t="n">
        <v>1</v>
      </c>
      <c r="M65" s="12" t="inlineStr">
        <is>
          <t>なし</t>
        </is>
      </c>
      <c r="N65" s="76" t="inlineStr">
        <is>
          <t>-</t>
        </is>
      </c>
      <c r="O65" s="12" t="inlineStr">
        <is>
          <t>なし</t>
        </is>
      </c>
      <c r="P65" s="12" t="inlineStr">
        <is>
          <t>-</t>
        </is>
      </c>
      <c r="Q65" s="12" t="inlineStr">
        <is>
          <t>-</t>
        </is>
      </c>
      <c r="R65" s="77" t="inlineStr">
        <is>
          <t>-</t>
        </is>
      </c>
      <c r="S65" s="1" t="inlineStr">
        <is>
          <t>-</t>
        </is>
      </c>
    </row>
    <row r="66">
      <c r="A66" s="74" t="n">
        <v>46135</v>
      </c>
      <c r="B66" s="12" t="inlineStr">
        <is>
          <t>人見</t>
        </is>
      </c>
      <c r="C66" s="20" t="inlineStr">
        <is>
          <t>-</t>
        </is>
      </c>
      <c r="D66" s="20" t="inlineStr">
        <is>
          <t>-</t>
        </is>
      </c>
      <c r="E66" s="20" t="inlineStr">
        <is>
          <t>-</t>
        </is>
      </c>
      <c r="F66" s="12" t="inlineStr">
        <is>
          <t>-</t>
        </is>
      </c>
      <c r="G66" s="12" t="inlineStr">
        <is>
          <t>-</t>
        </is>
      </c>
      <c r="H66" s="12" t="inlineStr">
        <is>
          <t>助手</t>
        </is>
      </c>
      <c r="I66" s="59" t="inlineStr">
        <is>
          <t>事務</t>
        </is>
      </c>
      <c r="J66" s="1" t="inlineStr">
        <is>
          <t>事務</t>
        </is>
      </c>
      <c r="K66" s="14" t="inlineStr">
        <is>
          <t>アースHP更新</t>
        </is>
      </c>
      <c r="L66" s="75" t="n">
        <v>1</v>
      </c>
      <c r="M66" s="12" t="inlineStr">
        <is>
          <t>なし</t>
        </is>
      </c>
      <c r="N66" s="76" t="inlineStr">
        <is>
          <t>-</t>
        </is>
      </c>
      <c r="O66" s="12" t="inlineStr">
        <is>
          <t>なし</t>
        </is>
      </c>
      <c r="P66" s="12" t="inlineStr">
        <is>
          <t>-</t>
        </is>
      </c>
      <c r="Q66" s="12" t="inlineStr">
        <is>
          <t>-</t>
        </is>
      </c>
      <c r="R66" s="77" t="inlineStr">
        <is>
          <t>-</t>
        </is>
      </c>
      <c r="S66" s="1" t="inlineStr">
        <is>
          <t>-</t>
        </is>
      </c>
    </row>
    <row r="67">
      <c r="A67" s="74" t="n">
        <v>46135</v>
      </c>
      <c r="B67" s="12" t="inlineStr">
        <is>
          <t>人見</t>
        </is>
      </c>
      <c r="C67" s="20" t="inlineStr">
        <is>
          <t>-</t>
        </is>
      </c>
      <c r="D67" s="20" t="inlineStr">
        <is>
          <t>-</t>
        </is>
      </c>
      <c r="E67" s="20" t="inlineStr">
        <is>
          <t>-</t>
        </is>
      </c>
      <c r="F67" s="12" t="inlineStr">
        <is>
          <t>-</t>
        </is>
      </c>
      <c r="G67" s="12" t="inlineStr">
        <is>
          <t>-</t>
        </is>
      </c>
      <c r="H67" s="12" t="inlineStr">
        <is>
          <t>助手</t>
        </is>
      </c>
      <c r="I67" s="59" t="inlineStr">
        <is>
          <t>開発</t>
        </is>
      </c>
      <c r="J67" s="1" t="inlineStr">
        <is>
          <t>開発関係</t>
        </is>
      </c>
      <c r="K67" s="14" t="inlineStr">
        <is>
          <t>VPNの学習</t>
        </is>
      </c>
      <c r="L67" s="75" t="n">
        <v>1</v>
      </c>
      <c r="M67" s="12" t="inlineStr">
        <is>
          <t>なし</t>
        </is>
      </c>
      <c r="N67" s="76" t="inlineStr">
        <is>
          <t>-</t>
        </is>
      </c>
      <c r="O67" s="12" t="inlineStr">
        <is>
          <t>なし</t>
        </is>
      </c>
      <c r="P67" s="12" t="inlineStr">
        <is>
          <t>-</t>
        </is>
      </c>
      <c r="Q67" s="12" t="inlineStr">
        <is>
          <t>-</t>
        </is>
      </c>
      <c r="R67" s="77" t="inlineStr">
        <is>
          <t>-</t>
        </is>
      </c>
      <c r="S67" s="1" t="inlineStr">
        <is>
          <t>-</t>
        </is>
      </c>
    </row>
    <row r="68">
      <c r="A68" s="74" t="n">
        <v>46135</v>
      </c>
      <c r="B68" s="12" t="inlineStr">
        <is>
          <t>人見</t>
        </is>
      </c>
      <c r="C68" s="20" t="inlineStr">
        <is>
          <t>-</t>
        </is>
      </c>
      <c r="D68" s="20" t="inlineStr">
        <is>
          <t>-</t>
        </is>
      </c>
      <c r="E68" s="20" t="inlineStr">
        <is>
          <t>-</t>
        </is>
      </c>
      <c r="F68" s="12" t="inlineStr">
        <is>
          <t>-</t>
        </is>
      </c>
      <c r="G68" s="12" t="inlineStr">
        <is>
          <t>-</t>
        </is>
      </c>
      <c r="H68" s="12" t="inlineStr">
        <is>
          <t>助手</t>
        </is>
      </c>
      <c r="I68" s="59" t="inlineStr">
        <is>
          <t>開発</t>
        </is>
      </c>
      <c r="J68" s="1" t="inlineStr">
        <is>
          <t>開発関係</t>
        </is>
      </c>
      <c r="K68" s="14" t="inlineStr">
        <is>
          <t>MissionPlannnerEAのAndroid対応研究</t>
        </is>
      </c>
      <c r="L68" s="75" t="n">
        <v>3</v>
      </c>
      <c r="M68" s="12" t="inlineStr">
        <is>
          <t>なし</t>
        </is>
      </c>
      <c r="N68" s="76" t="inlineStr">
        <is>
          <t>-</t>
        </is>
      </c>
      <c r="O68" s="12" t="inlineStr">
        <is>
          <t>なし</t>
        </is>
      </c>
      <c r="P68" s="12" t="inlineStr">
        <is>
          <t>-</t>
        </is>
      </c>
      <c r="Q68" s="12" t="inlineStr">
        <is>
          <t>-</t>
        </is>
      </c>
      <c r="R68" s="77" t="inlineStr">
        <is>
          <t>-</t>
        </is>
      </c>
      <c r="S68" s="1" t="inlineStr">
        <is>
          <t>-</t>
        </is>
      </c>
    </row>
    <row r="69">
      <c r="A69" s="74" t="n">
        <v>46135</v>
      </c>
      <c r="B69" s="12" t="inlineStr">
        <is>
          <t>金本</t>
        </is>
      </c>
      <c r="C69" s="20" t="n">
        <v>0.3541666666666667</v>
      </c>
      <c r="D69" s="20" t="n">
        <v>0.7291666666666666</v>
      </c>
      <c r="E69" s="20" t="n">
        <v>0</v>
      </c>
      <c r="F69" s="12" t="inlineStr">
        <is>
          <t>本社</t>
        </is>
      </c>
      <c r="G69" s="12" t="inlineStr">
        <is>
          <t>本社</t>
        </is>
      </c>
      <c r="H69" s="12" t="inlineStr">
        <is>
          <t>助手</t>
        </is>
      </c>
      <c r="I69" s="12" t="inlineStr">
        <is>
          <t>営業</t>
        </is>
      </c>
      <c r="J69" s="12" t="inlineStr">
        <is>
          <t>営業</t>
        </is>
      </c>
      <c r="K69" s="14" t="inlineStr">
        <is>
          <t>錢高組 テイン様から質問いただいていたコルク＋の問題を検証し、メールで回答</t>
        </is>
      </c>
      <c r="L69" s="75" t="n">
        <v>2</v>
      </c>
      <c r="M69" s="12" t="inlineStr">
        <is>
          <t>なし</t>
        </is>
      </c>
      <c r="N69" s="76" t="inlineStr">
        <is>
          <t>-</t>
        </is>
      </c>
      <c r="O69" s="12" t="inlineStr">
        <is>
          <t>なし</t>
        </is>
      </c>
      <c r="P69" s="12" t="inlineStr">
        <is>
          <t>-</t>
        </is>
      </c>
      <c r="Q69" s="12" t="inlineStr">
        <is>
          <t>-</t>
        </is>
      </c>
      <c r="R69" s="77" t="inlineStr">
        <is>
          <t>-</t>
        </is>
      </c>
      <c r="S69" s="1" t="inlineStr">
        <is>
          <t>-</t>
        </is>
      </c>
    </row>
    <row r="70">
      <c r="A70" s="74" t="n">
        <v>46135</v>
      </c>
      <c r="B70" s="12" t="inlineStr">
        <is>
          <t>金本</t>
        </is>
      </c>
      <c r="C70" s="20" t="inlineStr">
        <is>
          <t>-</t>
        </is>
      </c>
      <c r="D70" s="20" t="inlineStr">
        <is>
          <t>-</t>
        </is>
      </c>
      <c r="E70" s="20" t="inlineStr">
        <is>
          <t>-</t>
        </is>
      </c>
      <c r="F70" s="12" t="inlineStr">
        <is>
          <t>-</t>
        </is>
      </c>
      <c r="G70" s="12" t="inlineStr">
        <is>
          <t>-</t>
        </is>
      </c>
      <c r="H70" s="12" t="inlineStr">
        <is>
          <t>助手</t>
        </is>
      </c>
      <c r="I70" s="12" t="inlineStr">
        <is>
          <t>営業</t>
        </is>
      </c>
      <c r="J70" s="12" t="inlineStr">
        <is>
          <t>営業</t>
        </is>
      </c>
      <c r="K70" s="14" t="inlineStr">
        <is>
          <t>昼からの打ち合わせのための資料作成(錢高組 Revit講習の反省会資料)</t>
        </is>
      </c>
      <c r="L70" s="75" t="n">
        <v>4</v>
      </c>
      <c r="M70" s="12" t="inlineStr">
        <is>
          <t>なし</t>
        </is>
      </c>
      <c r="N70" s="76" t="inlineStr">
        <is>
          <t>-</t>
        </is>
      </c>
      <c r="O70" s="12" t="inlineStr">
        <is>
          <t>なし</t>
        </is>
      </c>
      <c r="P70" s="12" t="inlineStr">
        <is>
          <t>-</t>
        </is>
      </c>
      <c r="Q70" s="12" t="inlineStr">
        <is>
          <t>-</t>
        </is>
      </c>
      <c r="R70" s="77" t="inlineStr">
        <is>
          <t>-</t>
        </is>
      </c>
      <c r="S70" s="1" t="inlineStr">
        <is>
          <t>-</t>
        </is>
      </c>
    </row>
    <row r="71">
      <c r="A71" s="74" t="n">
        <v>46135</v>
      </c>
      <c r="B71" s="12" t="inlineStr">
        <is>
          <t>金本</t>
        </is>
      </c>
      <c r="C71" s="20" t="inlineStr">
        <is>
          <t>-</t>
        </is>
      </c>
      <c r="D71" s="20" t="inlineStr">
        <is>
          <t>-</t>
        </is>
      </c>
      <c r="E71" s="20" t="inlineStr">
        <is>
          <t>-</t>
        </is>
      </c>
      <c r="F71" s="12" t="inlineStr">
        <is>
          <t>-</t>
        </is>
      </c>
      <c r="G71" s="12" t="inlineStr">
        <is>
          <t>-</t>
        </is>
      </c>
      <c r="H71" s="12" t="inlineStr">
        <is>
          <t>助手</t>
        </is>
      </c>
      <c r="I71" s="59" t="inlineStr">
        <is>
          <t>開発</t>
        </is>
      </c>
      <c r="J71" s="1" t="inlineStr">
        <is>
          <t>開発関係</t>
        </is>
      </c>
      <c r="K71" s="14" t="inlineStr">
        <is>
          <t>打ち合わせ(人見さんが作ってくれたソフトの説明、錢高組 Revit講習の反省会)</t>
        </is>
      </c>
      <c r="L71" s="75" t="n">
        <v>2</v>
      </c>
      <c r="M71" s="12" t="inlineStr">
        <is>
          <t>なし</t>
        </is>
      </c>
      <c r="N71" s="76" t="inlineStr">
        <is>
          <t>-</t>
        </is>
      </c>
      <c r="O71" s="12" t="inlineStr">
        <is>
          <t>なし</t>
        </is>
      </c>
      <c r="P71" s="12" t="inlineStr">
        <is>
          <t>-</t>
        </is>
      </c>
      <c r="Q71" s="12" t="inlineStr">
        <is>
          <t>-</t>
        </is>
      </c>
      <c r="R71" s="77" t="inlineStr">
        <is>
          <t>-</t>
        </is>
      </c>
      <c r="S71" s="1" t="inlineStr">
        <is>
          <t>-</t>
        </is>
      </c>
    </row>
    <row r="72">
      <c r="A72" s="74" t="n">
        <v>46135</v>
      </c>
      <c r="B72" s="12" t="inlineStr">
        <is>
          <t>フック</t>
        </is>
      </c>
      <c r="C72" s="20" t="n">
        <v>0.3541666666666667</v>
      </c>
      <c r="D72" s="20" t="n">
        <v>0.7291666666666666</v>
      </c>
      <c r="E72" s="20" t="n">
        <v>0</v>
      </c>
      <c r="F72" s="12" t="inlineStr">
        <is>
          <t>本社</t>
        </is>
      </c>
      <c r="G72" s="12" t="inlineStr">
        <is>
          <t>本社</t>
        </is>
      </c>
      <c r="H72" s="12" t="inlineStr">
        <is>
          <t>助手</t>
        </is>
      </c>
      <c r="I72" s="59" t="inlineStr">
        <is>
          <t>開発</t>
        </is>
      </c>
      <c r="J72" s="1" t="inlineStr">
        <is>
          <t>開発関係</t>
        </is>
      </c>
      <c r="K72" s="14" t="inlineStr">
        <is>
          <t>打ち合わせ(人見さんが作ってくれたソフトの説明、錢高組 Revit講習の反省会)</t>
        </is>
      </c>
      <c r="L72" s="75" t="n">
        <v>2</v>
      </c>
      <c r="M72" s="12" t="inlineStr">
        <is>
          <t>なし</t>
        </is>
      </c>
      <c r="N72" s="76" t="inlineStr">
        <is>
          <t>-</t>
        </is>
      </c>
      <c r="O72" s="12" t="inlineStr">
        <is>
          <t>なし</t>
        </is>
      </c>
      <c r="P72" s="12" t="inlineStr">
        <is>
          <t>-</t>
        </is>
      </c>
      <c r="Q72" s="12" t="inlineStr">
        <is>
          <t>-</t>
        </is>
      </c>
      <c r="R72" s="77" t="inlineStr">
        <is>
          <t>-</t>
        </is>
      </c>
      <c r="S72" s="1" t="inlineStr">
        <is>
          <t>-</t>
        </is>
      </c>
      <c r="T72" s="1" t="inlineStr">
        <is>
          <t>南丹事務所にて</t>
        </is>
      </c>
    </row>
    <row r="73">
      <c r="A73" s="74" t="n">
        <v>46135</v>
      </c>
      <c r="B73" s="12" t="inlineStr">
        <is>
          <t>フック</t>
        </is>
      </c>
      <c r="C73" s="20" t="inlineStr">
        <is>
          <t>-</t>
        </is>
      </c>
      <c r="D73" s="20" t="inlineStr">
        <is>
          <t>-</t>
        </is>
      </c>
      <c r="E73" s="20" t="inlineStr">
        <is>
          <t>-</t>
        </is>
      </c>
      <c r="F73" s="12" t="inlineStr">
        <is>
          <t>-</t>
        </is>
      </c>
      <c r="G73" s="12" t="inlineStr">
        <is>
          <t>-</t>
        </is>
      </c>
      <c r="H73" s="12" t="inlineStr">
        <is>
          <t>助手</t>
        </is>
      </c>
      <c r="I73" s="59" t="inlineStr">
        <is>
          <t>RD28</t>
        </is>
      </c>
      <c r="J73" s="1" t="inlineStr">
        <is>
          <t>小型ドローン</t>
        </is>
      </c>
      <c r="K73" s="14" t="inlineStr">
        <is>
          <t>部品の配置をシミュレーション</t>
        </is>
      </c>
      <c r="L73" s="75" t="n">
        <v>5</v>
      </c>
      <c r="M73" s="12" t="inlineStr">
        <is>
          <t>AUTODESK</t>
        </is>
      </c>
      <c r="N73" s="76" t="n">
        <v>1750</v>
      </c>
      <c r="O73" s="12" t="inlineStr">
        <is>
          <t>なし</t>
        </is>
      </c>
      <c r="P73" s="12" t="inlineStr">
        <is>
          <t>-</t>
        </is>
      </c>
      <c r="Q73" s="12" t="inlineStr">
        <is>
          <t>-</t>
        </is>
      </c>
      <c r="R73" s="77" t="inlineStr">
        <is>
          <t>-</t>
        </is>
      </c>
      <c r="S73" s="1" t="inlineStr">
        <is>
          <t>-</t>
        </is>
      </c>
    </row>
    <row r="74">
      <c r="A74" s="74" t="n">
        <v>46135</v>
      </c>
      <c r="B74" s="12" t="inlineStr">
        <is>
          <t>フック</t>
        </is>
      </c>
      <c r="C74" s="20" t="inlineStr">
        <is>
          <t>-</t>
        </is>
      </c>
      <c r="D74" s="20" t="inlineStr">
        <is>
          <t>-</t>
        </is>
      </c>
      <c r="E74" s="20" t="inlineStr">
        <is>
          <t>-</t>
        </is>
      </c>
      <c r="F74" s="12" t="inlineStr">
        <is>
          <t>-</t>
        </is>
      </c>
      <c r="G74" s="12" t="inlineStr">
        <is>
          <t>-</t>
        </is>
      </c>
      <c r="H74" s="12" t="inlineStr">
        <is>
          <t>助手</t>
        </is>
      </c>
      <c r="I74" s="12" t="inlineStr">
        <is>
          <t>営業</t>
        </is>
      </c>
      <c r="J74" s="12" t="inlineStr">
        <is>
          <t>営業</t>
        </is>
      </c>
      <c r="K74" s="14" t="inlineStr">
        <is>
          <t>錢高組 テイン様から質問いただいていたコルク＋の問題を検証</t>
        </is>
      </c>
      <c r="L74" s="75" t="n">
        <v>1</v>
      </c>
      <c r="M74" s="12" t="inlineStr">
        <is>
          <t>AUTODESK</t>
        </is>
      </c>
      <c r="N74" s="76" t="n">
        <v>1750</v>
      </c>
      <c r="O74" s="12" t="inlineStr">
        <is>
          <t>なし</t>
        </is>
      </c>
      <c r="P74" s="12" t="inlineStr">
        <is>
          <t>-</t>
        </is>
      </c>
      <c r="Q74" s="12" t="inlineStr">
        <is>
          <t>-</t>
        </is>
      </c>
      <c r="R74" s="77" t="inlineStr">
        <is>
          <t>-</t>
        </is>
      </c>
      <c r="S74" s="1" t="inlineStr">
        <is>
          <t>-</t>
        </is>
      </c>
    </row>
    <row r="75">
      <c r="A75" s="74" t="n">
        <v>46135</v>
      </c>
      <c r="B75" s="12" t="inlineStr">
        <is>
          <t>バタイ</t>
        </is>
      </c>
      <c r="C75" s="20" t="n">
        <v>0.3125</v>
      </c>
      <c r="D75" s="20" t="n">
        <v>0.7083333333333334</v>
      </c>
      <c r="E75" s="20" t="n">
        <v>0.02083333333333333</v>
      </c>
      <c r="F75" s="12" t="inlineStr">
        <is>
          <t>本社</t>
        </is>
      </c>
      <c r="G75" s="12" t="inlineStr">
        <is>
          <t>本社</t>
        </is>
      </c>
      <c r="H75" s="12" t="inlineStr">
        <is>
          <t>助手</t>
        </is>
      </c>
      <c r="I75" s="12" t="inlineStr">
        <is>
          <t>研修</t>
        </is>
      </c>
      <c r="J75" s="12" t="inlineStr">
        <is>
          <t>研修</t>
        </is>
      </c>
      <c r="K75" s="14" t="inlineStr">
        <is>
          <t>REVITマニュアル作成</t>
        </is>
      </c>
      <c r="L75" s="75" t="n">
        <v>8</v>
      </c>
      <c r="M75" s="12" t="inlineStr">
        <is>
          <t>なし</t>
        </is>
      </c>
      <c r="N75" s="76" t="inlineStr">
        <is>
          <t>-</t>
        </is>
      </c>
      <c r="O75" s="12" t="inlineStr">
        <is>
          <t>なし</t>
        </is>
      </c>
      <c r="P75" s="12" t="inlineStr">
        <is>
          <t>-</t>
        </is>
      </c>
      <c r="Q75" s="12" t="inlineStr">
        <is>
          <t>-</t>
        </is>
      </c>
      <c r="R75" s="77" t="inlineStr">
        <is>
          <t>-</t>
        </is>
      </c>
      <c r="S75" s="1" t="inlineStr">
        <is>
          <t>-</t>
        </is>
      </c>
    </row>
    <row r="76">
      <c r="A76" s="74" t="n">
        <v>46135</v>
      </c>
      <c r="B76" s="12" t="inlineStr">
        <is>
          <t>タイ</t>
        </is>
      </c>
      <c r="C76" s="20" t="n">
        <v>0.3541666666666667</v>
      </c>
      <c r="D76" s="20" t="n">
        <v>0.7291666666666666</v>
      </c>
      <c r="E76" s="20" t="n">
        <v>0</v>
      </c>
      <c r="F76" s="12" t="inlineStr">
        <is>
          <t>本社</t>
        </is>
      </c>
      <c r="G76" s="12" t="inlineStr">
        <is>
          <t>本社</t>
        </is>
      </c>
      <c r="H76" s="12" t="inlineStr">
        <is>
          <t>助手</t>
        </is>
      </c>
      <c r="I76" s="59" t="inlineStr">
        <is>
          <t>VT01</t>
        </is>
      </c>
      <c r="J76" s="1" t="inlineStr">
        <is>
          <t>駐在所</t>
        </is>
      </c>
      <c r="K76" s="14" t="inlineStr">
        <is>
          <t>ベトナムオンライン</t>
        </is>
      </c>
      <c r="L76" s="75" t="n">
        <v>0.5</v>
      </c>
      <c r="M76" s="12" t="inlineStr">
        <is>
          <t>なし</t>
        </is>
      </c>
      <c r="N76" s="76" t="inlineStr">
        <is>
          <t>-</t>
        </is>
      </c>
      <c r="O76" s="12" t="inlineStr">
        <is>
          <t>なし</t>
        </is>
      </c>
      <c r="P76" s="12" t="inlineStr">
        <is>
          <t>-</t>
        </is>
      </c>
      <c r="Q76" s="12" t="inlineStr">
        <is>
          <t>-</t>
        </is>
      </c>
      <c r="R76" s="77" t="inlineStr">
        <is>
          <t>-</t>
        </is>
      </c>
      <c r="S76" s="1" t="inlineStr">
        <is>
          <t>-</t>
        </is>
      </c>
    </row>
    <row r="77">
      <c r="A77" s="74" t="n">
        <v>46135</v>
      </c>
      <c r="B77" s="12" t="inlineStr">
        <is>
          <t>タイ</t>
        </is>
      </c>
      <c r="C77" s="20" t="inlineStr">
        <is>
          <t>-</t>
        </is>
      </c>
      <c r="D77" s="20" t="inlineStr">
        <is>
          <t>-</t>
        </is>
      </c>
      <c r="E77" s="20" t="inlineStr">
        <is>
          <t>-</t>
        </is>
      </c>
      <c r="F77" s="12" t="inlineStr">
        <is>
          <t>-</t>
        </is>
      </c>
      <c r="G77" s="12" t="inlineStr">
        <is>
          <t>-</t>
        </is>
      </c>
      <c r="H77" s="12" t="inlineStr">
        <is>
          <t>助手</t>
        </is>
      </c>
      <c r="I77" s="59" t="inlineStr">
        <is>
          <t>開発</t>
        </is>
      </c>
      <c r="J77" s="1" t="inlineStr">
        <is>
          <t>開発関係</t>
        </is>
      </c>
      <c r="K77" s="14" t="inlineStr">
        <is>
          <t>打ち合わせ(人見さんが作ってくれたソフトの説明、錢高組 Revit講習の反省会)</t>
        </is>
      </c>
      <c r="L77" s="75" t="n">
        <v>2</v>
      </c>
      <c r="M77" s="12" t="inlineStr">
        <is>
          <t>なし</t>
        </is>
      </c>
      <c r="N77" s="76" t="inlineStr">
        <is>
          <t>-</t>
        </is>
      </c>
      <c r="O77" s="12" t="inlineStr">
        <is>
          <t>なし</t>
        </is>
      </c>
      <c r="P77" s="12" t="inlineStr">
        <is>
          <t>-</t>
        </is>
      </c>
      <c r="Q77" s="12" t="inlineStr">
        <is>
          <t>-</t>
        </is>
      </c>
      <c r="R77" s="77" t="inlineStr">
        <is>
          <t>-</t>
        </is>
      </c>
      <c r="S77" s="1" t="inlineStr">
        <is>
          <t>-</t>
        </is>
      </c>
    </row>
    <row r="78">
      <c r="A78" s="74" t="n">
        <v>46135</v>
      </c>
      <c r="B78" s="12" t="inlineStr">
        <is>
          <t>タイ</t>
        </is>
      </c>
      <c r="C78" s="20" t="inlineStr">
        <is>
          <t>-</t>
        </is>
      </c>
      <c r="D78" s="20" t="inlineStr">
        <is>
          <t>-</t>
        </is>
      </c>
      <c r="E78" s="20" t="inlineStr">
        <is>
          <t>-</t>
        </is>
      </c>
      <c r="F78" s="12" t="inlineStr">
        <is>
          <t>-</t>
        </is>
      </c>
      <c r="G78" s="12" t="inlineStr">
        <is>
          <t>-</t>
        </is>
      </c>
      <c r="H78" s="12" t="inlineStr">
        <is>
          <t>助手</t>
        </is>
      </c>
      <c r="I78" s="59" t="inlineStr">
        <is>
          <t>EA156</t>
        </is>
      </c>
      <c r="J78" s="1" t="inlineStr">
        <is>
          <t>R7寺田拡幅</t>
        </is>
      </c>
      <c r="K78" s="14" t="inlineStr">
        <is>
          <t>寺田拡幅交差点の3Dモデル作成</t>
        </is>
      </c>
      <c r="L78" s="75" t="n">
        <v>5.5</v>
      </c>
      <c r="M78" s="12" t="inlineStr">
        <is>
          <t>AUTODESK</t>
        </is>
      </c>
      <c r="N78" s="76" t="n">
        <v>1750</v>
      </c>
      <c r="O78" s="12" t="inlineStr">
        <is>
          <t>なし</t>
        </is>
      </c>
      <c r="P78" s="12" t="inlineStr">
        <is>
          <t>-</t>
        </is>
      </c>
      <c r="Q78" s="12" t="inlineStr">
        <is>
          <t>-</t>
        </is>
      </c>
      <c r="R78" s="77" t="inlineStr">
        <is>
          <t>-</t>
        </is>
      </c>
      <c r="S78" s="1" t="inlineStr">
        <is>
          <t>-</t>
        </is>
      </c>
    </row>
    <row r="79" hidden="1" s="79">
      <c r="A79" s="74" t="n">
        <v>46134</v>
      </c>
      <c r="B79" s="12" t="inlineStr">
        <is>
          <t>千原</t>
        </is>
      </c>
      <c r="C79" s="20" t="n">
        <v>0.3541666666666667</v>
      </c>
      <c r="D79" s="20" t="n">
        <v>0.7291666666666666</v>
      </c>
      <c r="E79" s="20" t="n">
        <v>0</v>
      </c>
      <c r="F79" s="12" t="inlineStr">
        <is>
          <t>リモート</t>
        </is>
      </c>
      <c r="G79" s="12" t="inlineStr">
        <is>
          <t>リモート</t>
        </is>
      </c>
      <c r="H79" s="12" t="inlineStr">
        <is>
          <t>助手</t>
        </is>
      </c>
      <c r="I79" s="14" t="inlineStr">
        <is>
          <t>研修</t>
        </is>
      </c>
      <c r="J79" s="12" t="inlineStr">
        <is>
          <t>研修</t>
        </is>
      </c>
      <c r="K79" s="14" t="inlineStr">
        <is>
          <t>Autodesk操作資料テンプレート作成・編集説明書作成</t>
        </is>
      </c>
      <c r="L79" s="75" t="n">
        <v>8</v>
      </c>
      <c r="M79" s="12" t="inlineStr">
        <is>
          <t>なし</t>
        </is>
      </c>
      <c r="N79" s="76" t="inlineStr">
        <is>
          <t>-</t>
        </is>
      </c>
      <c r="O79" s="12" t="inlineStr">
        <is>
          <t>なし</t>
        </is>
      </c>
      <c r="P79" s="12" t="inlineStr">
        <is>
          <t>-</t>
        </is>
      </c>
      <c r="Q79" s="12" t="inlineStr">
        <is>
          <t>-</t>
        </is>
      </c>
      <c r="R79" s="77" t="inlineStr">
        <is>
          <t>-</t>
        </is>
      </c>
      <c r="S79" s="1" t="inlineStr">
        <is>
          <t>-</t>
        </is>
      </c>
    </row>
    <row r="80">
      <c r="A80" s="74" t="n">
        <v>46135</v>
      </c>
      <c r="B80" s="12" t="inlineStr">
        <is>
          <t>ズイ</t>
        </is>
      </c>
      <c r="C80" s="20" t="n">
        <v>0.3125</v>
      </c>
      <c r="D80" s="20" t="n">
        <v>0.7291666666666666</v>
      </c>
      <c r="E80" s="20" t="n">
        <v>0.04166666666666666</v>
      </c>
      <c r="F80" s="12" t="inlineStr">
        <is>
          <t>本社</t>
        </is>
      </c>
      <c r="G80" s="12" t="inlineStr">
        <is>
          <t>本社</t>
        </is>
      </c>
      <c r="H80" s="12" t="inlineStr">
        <is>
          <t>助手</t>
        </is>
      </c>
      <c r="I80" s="38" t="inlineStr">
        <is>
          <t>EA134</t>
        </is>
      </c>
      <c r="J80" s="39" t="inlineStr">
        <is>
          <t>教材作成</t>
        </is>
      </c>
      <c r="K80" s="14" t="inlineStr">
        <is>
          <t>Twinmotionによって施工ステップのガイドを作成</t>
        </is>
      </c>
      <c r="L80" s="75" t="n">
        <v>8.5</v>
      </c>
      <c r="M80" s="12" t="inlineStr">
        <is>
          <t>AUTODESK</t>
        </is>
      </c>
      <c r="N80" s="76" t="n">
        <v>1750</v>
      </c>
      <c r="O80" s="12" t="inlineStr">
        <is>
          <t>なし</t>
        </is>
      </c>
      <c r="P80" s="12" t="inlineStr">
        <is>
          <t>-</t>
        </is>
      </c>
      <c r="Q80" s="12" t="inlineStr">
        <is>
          <t>-</t>
        </is>
      </c>
      <c r="R80" s="77" t="inlineStr">
        <is>
          <t>-</t>
        </is>
      </c>
      <c r="S80" s="1" t="inlineStr">
        <is>
          <t>-</t>
        </is>
      </c>
    </row>
    <row r="81" hidden="1" s="79">
      <c r="C81" s="20" t="n"/>
      <c r="D81" s="20" t="n"/>
      <c r="E81" s="20" t="n"/>
      <c r="I81" s="59" t="n"/>
      <c r="J81" s="1" t="n"/>
      <c r="K81" s="14" t="n"/>
    </row>
    <row r="82" hidden="1" s="79">
      <c r="C82" s="20" t="n"/>
      <c r="D82" s="20" t="n"/>
      <c r="E82" s="20" t="n"/>
      <c r="I82" s="14" t="n"/>
      <c r="J82" s="12" t="n"/>
      <c r="K82" s="14" t="n"/>
    </row>
    <row r="83" hidden="1" s="79">
      <c r="C83" s="20" t="n"/>
      <c r="D83" s="20" t="n"/>
      <c r="E83" s="20" t="n"/>
      <c r="I83" s="14" t="n"/>
      <c r="J83" s="12" t="n"/>
      <c r="K83" s="14" t="n"/>
    </row>
    <row r="84" hidden="1" s="79">
      <c r="C84" s="20" t="n"/>
      <c r="D84" s="20" t="n"/>
      <c r="E84" s="20" t="n"/>
    </row>
    <row r="85" hidden="1" s="79">
      <c r="C85" s="20" t="n"/>
      <c r="D85" s="20" t="n"/>
      <c r="E85" s="20" t="n"/>
      <c r="K85" s="14" t="n"/>
      <c r="N85" s="76" t="n"/>
    </row>
    <row r="86" hidden="1" s="79">
      <c r="C86" s="20" t="n"/>
      <c r="D86" s="20" t="n"/>
      <c r="E86" s="20" t="n"/>
      <c r="K86" s="14" t="n"/>
    </row>
    <row r="87" hidden="1" s="79">
      <c r="C87" s="20" t="n"/>
      <c r="D87" s="20" t="n"/>
      <c r="E87" s="20" t="n"/>
      <c r="I87" s="59" t="n"/>
      <c r="J87" s="1" t="n"/>
      <c r="K87" s="14" t="n"/>
    </row>
    <row r="88" hidden="1" s="79">
      <c r="C88" s="20" t="n"/>
      <c r="D88" s="20" t="n"/>
      <c r="E88" s="20" t="n"/>
      <c r="I88" s="59" t="n"/>
      <c r="J88" s="1" t="n"/>
      <c r="K88" s="14" t="n"/>
    </row>
    <row r="89" hidden="1" s="79">
      <c r="C89" s="20" t="n"/>
      <c r="D89" s="20" t="n"/>
      <c r="E89" s="20" t="n"/>
      <c r="I89" s="59" t="n"/>
      <c r="J89" s="1" t="n"/>
      <c r="K89" s="14" t="n"/>
    </row>
    <row r="90" hidden="1" s="79">
      <c r="C90" s="20" t="n"/>
      <c r="D90" s="20" t="n"/>
      <c r="E90" s="20" t="n"/>
      <c r="I90" s="59" t="n"/>
      <c r="J90" s="1" t="n"/>
      <c r="K90" s="14" t="n"/>
      <c r="N90" s="76" t="n"/>
    </row>
    <row r="91" hidden="1" s="79">
      <c r="C91" s="20" t="n"/>
      <c r="D91" s="20" t="n"/>
      <c r="E91" s="20" t="n"/>
      <c r="I91" s="59" t="n"/>
      <c r="J91" s="1" t="n"/>
      <c r="K91" s="14" t="n"/>
      <c r="N91" s="76" t="n"/>
    </row>
    <row r="92" hidden="1" s="79">
      <c r="C92" s="20" t="n"/>
      <c r="D92" s="41" t="n"/>
      <c r="E92" s="20" t="n"/>
    </row>
    <row r="93" hidden="1" s="79">
      <c r="C93" s="20" t="n"/>
      <c r="D93" s="20" t="n"/>
      <c r="E93" s="20" t="n"/>
      <c r="I93" s="59" t="n"/>
      <c r="J93" s="1" t="n"/>
      <c r="K93" s="14" t="n"/>
    </row>
    <row r="94" hidden="1" s="79">
      <c r="C94" s="20" t="n"/>
      <c r="D94" s="20" t="n"/>
      <c r="E94" s="20" t="n"/>
      <c r="I94" s="14" t="n"/>
      <c r="J94" s="12" t="n"/>
      <c r="K94" s="14" t="n"/>
    </row>
    <row r="95" hidden="1" s="79">
      <c r="C95" s="20" t="n"/>
      <c r="D95" s="20" t="n"/>
      <c r="E95" s="20" t="n"/>
      <c r="K95" s="14" t="n"/>
      <c r="N95" s="76" t="n"/>
    </row>
    <row r="96" hidden="1" s="79">
      <c r="C96" s="20" t="n"/>
      <c r="D96" s="20" t="n"/>
      <c r="E96" s="20" t="n"/>
      <c r="I96" s="59" t="n"/>
      <c r="J96" s="1" t="n"/>
      <c r="K96" s="14" t="n"/>
    </row>
    <row r="97" hidden="1" s="79">
      <c r="C97" s="20" t="n"/>
      <c r="D97" s="20" t="n"/>
      <c r="E97" s="20" t="n"/>
      <c r="I97" s="59" t="n"/>
      <c r="J97" s="1" t="n"/>
      <c r="K97" s="14" t="n"/>
    </row>
    <row r="98" hidden="1" s="79">
      <c r="C98" s="20" t="n"/>
      <c r="D98" s="20" t="n"/>
      <c r="E98" s="20" t="n"/>
      <c r="I98" s="1" t="n"/>
      <c r="J98" s="1" t="n"/>
      <c r="K98" s="14" t="n"/>
    </row>
    <row r="99" hidden="1" s="79">
      <c r="C99" s="20" t="n"/>
      <c r="D99" s="20" t="n"/>
      <c r="E99" s="20" t="n"/>
      <c r="I99" s="59" t="n"/>
      <c r="J99" s="1" t="n"/>
      <c r="K99" s="14" t="n"/>
      <c r="N99" s="76" t="n"/>
    </row>
    <row r="100" hidden="1" s="79">
      <c r="C100" s="20" t="n"/>
      <c r="D100" s="20" t="n"/>
      <c r="E100" s="20" t="n"/>
      <c r="K100" s="14" t="n"/>
    </row>
    <row r="101" hidden="1" s="79">
      <c r="C101" s="20" t="n"/>
      <c r="D101" s="20" t="n"/>
      <c r="E101" s="20" t="n"/>
    </row>
    <row r="102" hidden="1" s="79">
      <c r="C102" s="20" t="n"/>
      <c r="D102" s="20" t="n"/>
      <c r="E102" s="20" t="n"/>
    </row>
    <row r="103" hidden="1" s="79">
      <c r="C103" s="20" t="n"/>
      <c r="D103" s="20" t="n"/>
      <c r="E103" s="20" t="n"/>
    </row>
    <row r="104" hidden="1" s="79">
      <c r="C104" s="20" t="n"/>
      <c r="D104" s="20" t="n"/>
      <c r="E104" s="20" t="n"/>
    </row>
    <row r="105" hidden="1" s="79">
      <c r="C105" s="20" t="n"/>
      <c r="D105" s="20" t="n"/>
      <c r="E105" s="20" t="n"/>
    </row>
    <row r="106" hidden="1" s="79">
      <c r="C106" s="20" t="n"/>
      <c r="D106" s="20" t="n"/>
      <c r="E106" s="20" t="n"/>
      <c r="I106" s="12" t="n"/>
      <c r="J106" s="12" t="n"/>
    </row>
    <row r="107" hidden="1" s="79">
      <c r="C107" s="20" t="n"/>
      <c r="D107" s="20" t="n"/>
      <c r="E107" s="20" t="n"/>
    </row>
    <row r="108" hidden="1" s="79">
      <c r="C108" s="20" t="n"/>
      <c r="D108" s="20" t="n"/>
      <c r="E108" s="20" t="n"/>
      <c r="I108" s="12" t="n"/>
      <c r="J108" s="12" t="n"/>
      <c r="K108" s="14" t="n"/>
    </row>
    <row r="109" hidden="1" s="79">
      <c r="C109" s="20" t="n"/>
      <c r="D109" s="20" t="n"/>
      <c r="E109" s="20" t="n"/>
      <c r="I109" s="14" t="n"/>
      <c r="J109" s="12" t="n"/>
      <c r="K109" s="14" t="n"/>
    </row>
    <row r="110" hidden="1" s="79">
      <c r="C110" s="20" t="n"/>
      <c r="D110" s="20" t="n"/>
      <c r="E110" s="20" t="n"/>
      <c r="I110" s="14" t="n"/>
      <c r="J110" s="12" t="n"/>
      <c r="K110" s="14" t="n"/>
    </row>
    <row r="111" hidden="1" s="79">
      <c r="C111" s="20" t="n"/>
      <c r="D111" s="20" t="n"/>
      <c r="E111" s="20" t="n"/>
      <c r="I111" s="59" t="n"/>
      <c r="J111" s="1" t="n"/>
      <c r="K111" s="14" t="n"/>
      <c r="N111" s="76" t="n"/>
    </row>
    <row r="112" hidden="1" s="79">
      <c r="C112" s="20" t="n"/>
      <c r="D112" s="20" t="n"/>
      <c r="E112" s="20" t="n"/>
      <c r="I112" s="14" t="n"/>
      <c r="J112" s="12" t="n"/>
      <c r="K112" s="14" t="n"/>
    </row>
    <row r="113" hidden="1" s="79">
      <c r="C113" s="20" t="n"/>
      <c r="D113" s="20" t="n"/>
      <c r="E113" s="20" t="n"/>
      <c r="I113" s="14" t="n"/>
      <c r="J113" s="12" t="n"/>
      <c r="K113" s="14" t="n"/>
    </row>
    <row r="114" hidden="1" s="79">
      <c r="C114" s="20" t="n"/>
      <c r="D114" s="20" t="n"/>
      <c r="E114" s="20" t="n"/>
      <c r="I114" s="14" t="n"/>
      <c r="J114" s="12" t="n"/>
      <c r="K114" s="14" t="n"/>
    </row>
    <row r="115" hidden="1" s="79">
      <c r="C115" s="20" t="n"/>
      <c r="D115" s="20" t="n"/>
      <c r="E115" s="20" t="n"/>
      <c r="I115" s="14" t="n"/>
      <c r="J115" s="12" t="n"/>
      <c r="K115" s="14" t="n"/>
    </row>
    <row r="116" hidden="1" s="79">
      <c r="C116" s="20" t="n"/>
      <c r="D116" s="20" t="n"/>
      <c r="E116" s="20" t="n"/>
      <c r="I116" s="14" t="n"/>
      <c r="J116" s="12" t="n"/>
      <c r="K116" s="14" t="n"/>
    </row>
    <row r="117" hidden="1" s="79">
      <c r="C117" s="20" t="n"/>
      <c r="D117" s="20" t="n"/>
      <c r="E117" s="20" t="n"/>
      <c r="I117" s="14" t="n"/>
      <c r="J117" s="12" t="n"/>
      <c r="K117" s="14" t="n"/>
    </row>
    <row r="118" hidden="1" s="79">
      <c r="C118" s="20" t="n"/>
      <c r="D118" s="20" t="n"/>
      <c r="E118" s="20" t="n"/>
      <c r="I118" s="12" t="n"/>
      <c r="J118" s="12" t="n"/>
      <c r="K118" s="14" t="n"/>
    </row>
    <row r="119" hidden="1" s="79">
      <c r="C119" s="20" t="n"/>
      <c r="D119" s="20" t="n"/>
      <c r="E119" s="20" t="n"/>
      <c r="N119" s="76" t="n"/>
    </row>
    <row r="120" hidden="1" s="79">
      <c r="C120" s="20" t="n"/>
      <c r="D120" s="20" t="n"/>
      <c r="E120" s="20" t="n"/>
      <c r="I120" s="14" t="n"/>
      <c r="J120" s="12" t="n"/>
      <c r="K120" s="14" t="n"/>
    </row>
    <row r="121" hidden="1" s="79">
      <c r="C121" s="20" t="n"/>
      <c r="D121" s="20" t="n"/>
      <c r="E121" s="20" t="n"/>
      <c r="I121" s="14" t="n"/>
      <c r="J121" s="12" t="n"/>
      <c r="K121" s="14" t="n"/>
    </row>
    <row r="122" hidden="1" s="79">
      <c r="C122" s="20" t="n"/>
      <c r="D122" s="20" t="n"/>
      <c r="E122" s="20" t="n"/>
      <c r="I122" s="12" t="n"/>
      <c r="J122" s="12" t="n"/>
      <c r="K122" s="14" t="n"/>
    </row>
    <row r="123" hidden="1" s="79">
      <c r="C123" s="20" t="n"/>
      <c r="D123" s="20" t="n"/>
      <c r="E123" s="20" t="n"/>
      <c r="I123" s="14" t="n"/>
      <c r="J123" s="12" t="n"/>
      <c r="K123" s="40" t="n"/>
    </row>
    <row r="124" hidden="1" s="79">
      <c r="C124" s="20" t="n"/>
      <c r="D124" s="20" t="n"/>
      <c r="E124" s="20" t="n"/>
      <c r="I124" s="14" t="n"/>
      <c r="J124" s="12" t="n"/>
      <c r="K124" s="14" t="n"/>
    </row>
    <row r="125" hidden="1" s="79">
      <c r="C125" s="20" t="n"/>
      <c r="D125" s="20" t="n"/>
      <c r="E125" s="20" t="n"/>
    </row>
    <row r="126" hidden="1" s="79">
      <c r="C126" s="20" t="n"/>
      <c r="D126" s="20" t="n"/>
      <c r="E126" s="20" t="n"/>
      <c r="F126" s="55" t="n"/>
      <c r="I126" s="14" t="n"/>
      <c r="J126" s="12" t="n"/>
      <c r="K126" s="14" t="n"/>
    </row>
    <row r="127" hidden="1" s="79">
      <c r="C127" s="20" t="n"/>
      <c r="D127" s="20" t="n"/>
      <c r="E127" s="20" t="n"/>
      <c r="I127" s="14" t="n"/>
      <c r="J127" s="12" t="n"/>
      <c r="K127" s="14" t="n"/>
    </row>
    <row r="128" hidden="1" s="79">
      <c r="C128" s="20" t="n"/>
      <c r="D128" s="20" t="n"/>
      <c r="E128" s="20" t="n"/>
      <c r="I128" s="59" t="n"/>
      <c r="J128" s="1" t="n"/>
      <c r="K128" s="14" t="n"/>
    </row>
    <row r="129" hidden="1" s="79">
      <c r="C129" s="20" t="n"/>
      <c r="D129" s="20" t="n"/>
      <c r="E129" s="20" t="n"/>
      <c r="I129" s="14" t="n"/>
      <c r="J129" s="12" t="n"/>
      <c r="K129" s="14" t="n"/>
    </row>
    <row r="130" hidden="1" s="79">
      <c r="C130" s="20" t="n"/>
      <c r="D130" s="20" t="n"/>
      <c r="E130" s="20" t="n"/>
      <c r="I130" s="14" t="n"/>
      <c r="J130" s="12" t="n"/>
      <c r="K130" s="14" t="n"/>
    </row>
    <row r="131" hidden="1" s="79">
      <c r="C131" s="20" t="n"/>
      <c r="D131" s="20" t="n"/>
      <c r="E131" s="20" t="n"/>
      <c r="I131" s="14" t="n"/>
      <c r="J131" s="12" t="n"/>
      <c r="K131" s="14" t="n"/>
    </row>
    <row r="132" hidden="1" s="79">
      <c r="C132" s="20" t="n"/>
      <c r="D132" s="20" t="n"/>
      <c r="E132" s="20" t="n"/>
      <c r="I132" s="14" t="n"/>
      <c r="J132" s="12" t="n"/>
      <c r="K132" s="14" t="n"/>
    </row>
    <row r="133" hidden="1" s="79">
      <c r="C133" s="20" t="n"/>
      <c r="D133" s="20" t="n"/>
      <c r="E133" s="20" t="n"/>
      <c r="K133" s="14" t="n"/>
      <c r="N133" s="76" t="n"/>
    </row>
    <row r="134" hidden="1" s="79">
      <c r="C134" s="20" t="n"/>
      <c r="D134" s="20" t="n"/>
      <c r="E134" s="20" t="n"/>
      <c r="I134" s="14" t="n"/>
      <c r="J134" s="12" t="n"/>
      <c r="K134" s="14" t="n"/>
    </row>
    <row r="135" hidden="1" s="79">
      <c r="C135" s="20" t="n"/>
      <c r="D135" s="20" t="n"/>
      <c r="E135" s="20" t="n"/>
      <c r="I135" s="14" t="n"/>
      <c r="J135" s="12" t="n"/>
      <c r="K135" s="14" t="n"/>
    </row>
    <row r="136" hidden="1" s="79">
      <c r="C136" s="20" t="n"/>
      <c r="D136" s="20" t="n"/>
      <c r="E136" s="20" t="n"/>
      <c r="I136" s="14" t="n"/>
      <c r="J136" s="12" t="n"/>
      <c r="K136" s="14" t="n"/>
    </row>
    <row r="137" hidden="1" s="79">
      <c r="C137" s="20" t="n"/>
      <c r="D137" s="20" t="n"/>
      <c r="E137" s="20" t="n"/>
    </row>
    <row r="138" hidden="1" s="79">
      <c r="C138" s="20" t="n"/>
      <c r="D138" s="20" t="n"/>
      <c r="E138" s="20" t="n"/>
      <c r="I138" s="12" t="n"/>
      <c r="J138" s="12" t="n"/>
      <c r="K138" s="14" t="n"/>
    </row>
    <row r="139" hidden="1" s="79">
      <c r="C139" s="20" t="n"/>
      <c r="D139" s="20" t="n"/>
      <c r="E139" s="20" t="n"/>
      <c r="I139" s="12" t="n"/>
      <c r="J139" s="12" t="n"/>
    </row>
    <row r="140" hidden="1" s="79">
      <c r="C140" s="20" t="n"/>
      <c r="D140" s="20" t="n"/>
      <c r="E140" s="20" t="n"/>
      <c r="I140" s="14" t="n"/>
      <c r="J140" s="12" t="n"/>
      <c r="K140" s="14" t="n"/>
    </row>
    <row r="141" hidden="1" s="79">
      <c r="C141" s="20" t="n"/>
      <c r="D141" s="20" t="n"/>
      <c r="E141" s="20" t="n"/>
      <c r="I141" s="14" t="n"/>
      <c r="J141" s="12" t="n"/>
      <c r="K141" s="14" t="n"/>
    </row>
    <row r="142" hidden="1" s="79">
      <c r="C142" s="20" t="n"/>
      <c r="D142" s="20" t="n"/>
      <c r="E142" s="20" t="n"/>
      <c r="I142" s="12" t="n"/>
      <c r="J142" s="12" t="n"/>
      <c r="K142" s="14" t="n"/>
    </row>
    <row r="143" hidden="1" s="79">
      <c r="C143" s="20" t="n"/>
      <c r="D143" s="20" t="n"/>
      <c r="E143" s="20" t="n"/>
      <c r="I143" s="14" t="n"/>
      <c r="J143" s="12" t="n"/>
      <c r="K143" s="14" t="n"/>
    </row>
    <row r="144" hidden="1" s="79">
      <c r="C144" s="20" t="n"/>
      <c r="D144" s="20" t="n"/>
      <c r="E144" s="20" t="n"/>
      <c r="I144" s="14" t="n"/>
      <c r="J144" s="12" t="n"/>
      <c r="K144" s="14" t="n"/>
    </row>
    <row r="145" hidden="1" s="79">
      <c r="C145" s="20" t="n"/>
      <c r="D145" s="20" t="n"/>
      <c r="E145" s="20" t="n"/>
      <c r="I145" s="14" t="n"/>
      <c r="J145" s="12" t="n"/>
      <c r="K145" s="14" t="n"/>
    </row>
    <row r="146" hidden="1" s="79">
      <c r="C146" s="20" t="n"/>
      <c r="D146" s="20" t="n"/>
      <c r="E146" s="20" t="n"/>
      <c r="I146" s="12" t="n"/>
      <c r="J146" s="12" t="n"/>
    </row>
    <row r="147" hidden="1" s="79">
      <c r="C147" s="20" t="n"/>
      <c r="D147" s="20" t="n"/>
      <c r="E147" s="20" t="n"/>
    </row>
    <row r="148" hidden="1" s="79">
      <c r="C148" s="20" t="n"/>
      <c r="D148" s="20" t="n"/>
      <c r="E148" s="20" t="n"/>
      <c r="I148" s="14" t="n"/>
      <c r="J148" s="12" t="n"/>
      <c r="K148" s="14" t="n"/>
      <c r="N148" s="76" t="n"/>
    </row>
    <row r="149" hidden="1" s="79">
      <c r="C149" s="20" t="n"/>
      <c r="D149" s="20" t="n"/>
      <c r="E149" s="20" t="n"/>
      <c r="I149" s="14" t="n"/>
      <c r="J149" s="12" t="n"/>
      <c r="K149" s="14" t="n"/>
    </row>
    <row r="150" hidden="1" s="79">
      <c r="C150" s="20" t="n"/>
      <c r="D150" s="20" t="n"/>
      <c r="E150" s="20" t="n"/>
      <c r="I150" s="14" t="n"/>
      <c r="J150" s="12" t="n"/>
      <c r="K150" s="14" t="n"/>
    </row>
    <row r="151" hidden="1" s="79">
      <c r="C151" s="20" t="n"/>
      <c r="D151" s="20" t="n"/>
      <c r="E151" s="20" t="n"/>
      <c r="I151" s="14" t="n"/>
      <c r="J151" s="12" t="n"/>
      <c r="K151" s="14" t="n"/>
    </row>
    <row r="152" hidden="1" s="79">
      <c r="C152" s="20" t="n"/>
      <c r="D152" s="20" t="n"/>
      <c r="E152" s="20" t="n"/>
      <c r="I152" s="14" t="n"/>
      <c r="J152" s="12" t="n"/>
      <c r="K152" s="14" t="n"/>
    </row>
    <row r="153" hidden="1" s="79">
      <c r="C153" s="20" t="n"/>
      <c r="D153" s="20" t="n"/>
      <c r="E153" s="20" t="n"/>
      <c r="I153" s="14" t="n"/>
      <c r="J153" s="12" t="n"/>
      <c r="K153" s="14" t="n"/>
    </row>
    <row r="154" hidden="1" s="79">
      <c r="C154" s="20" t="n"/>
      <c r="D154" s="20" t="n"/>
      <c r="E154" s="20" t="n"/>
    </row>
    <row r="155" hidden="1" s="79">
      <c r="C155" s="20" t="n"/>
      <c r="D155" s="20" t="n"/>
      <c r="E155" s="20" t="n"/>
      <c r="K155" s="14" t="n"/>
    </row>
    <row r="156" hidden="1" s="79">
      <c r="C156" s="20" t="n"/>
      <c r="D156" s="20" t="n"/>
      <c r="E156" s="20" t="n"/>
      <c r="I156" s="14" t="n"/>
      <c r="J156" s="12" t="n"/>
      <c r="K156" s="14" t="n"/>
    </row>
    <row r="157" hidden="1" s="79">
      <c r="C157" s="20" t="n"/>
      <c r="D157" s="20" t="n"/>
      <c r="E157" s="20" t="n"/>
      <c r="I157" s="14" t="n"/>
      <c r="J157" s="12" t="n"/>
      <c r="K157" s="14" t="n"/>
    </row>
    <row r="158" hidden="1" s="79">
      <c r="C158" s="20" t="n"/>
      <c r="D158" s="20" t="n"/>
      <c r="E158" s="20" t="n"/>
      <c r="I158" s="14" t="n"/>
      <c r="J158" s="12" t="n"/>
      <c r="K158" s="14" t="n"/>
    </row>
    <row r="159" hidden="1" s="79">
      <c r="C159" s="20" t="n"/>
      <c r="D159" s="20" t="n"/>
      <c r="E159" s="20" t="n"/>
      <c r="I159" s="14" t="n"/>
      <c r="J159" s="12" t="n"/>
      <c r="K159" s="14" t="n"/>
    </row>
    <row r="160" hidden="1" s="79">
      <c r="C160" s="20" t="n"/>
      <c r="D160" s="20" t="n"/>
      <c r="E160" s="20" t="n"/>
      <c r="I160" s="14" t="n"/>
      <c r="J160" s="12" t="n"/>
      <c r="K160" s="14" t="n"/>
    </row>
    <row r="161" hidden="1" s="79">
      <c r="C161" s="20" t="n"/>
      <c r="D161" s="20" t="n"/>
      <c r="E161" s="20" t="n"/>
      <c r="I161" s="14" t="n"/>
      <c r="J161" s="12" t="n"/>
      <c r="K161" s="14" t="n"/>
      <c r="N161" s="76" t="n"/>
    </row>
    <row r="162" hidden="1" s="79">
      <c r="C162" s="20" t="n"/>
      <c r="D162" s="20" t="n"/>
      <c r="E162" s="20" t="n"/>
      <c r="I162" s="14" t="n"/>
      <c r="J162" s="12" t="n"/>
      <c r="K162" s="14" t="n"/>
    </row>
    <row r="163" hidden="1" s="79">
      <c r="C163" s="20" t="n"/>
      <c r="D163" s="20" t="n"/>
      <c r="E163" s="20" t="n"/>
      <c r="I163" s="14" t="n"/>
      <c r="J163" s="12" t="n"/>
      <c r="K163" s="14" t="n"/>
    </row>
    <row r="164" hidden="1" s="79">
      <c r="C164" s="20" t="n"/>
      <c r="D164" s="20" t="n"/>
      <c r="E164" s="20" t="n"/>
      <c r="I164" s="14" t="n"/>
      <c r="J164" s="12" t="n"/>
      <c r="K164" s="14" t="n"/>
    </row>
    <row r="165" hidden="1" s="79">
      <c r="C165" s="20" t="n"/>
      <c r="D165" s="20" t="n"/>
      <c r="E165" s="20" t="n"/>
      <c r="K165" s="14" t="n"/>
    </row>
    <row r="166" hidden="1" s="79">
      <c r="C166" s="20" t="n"/>
      <c r="D166" s="20" t="n"/>
      <c r="E166" s="20" t="n"/>
      <c r="I166" s="14" t="n"/>
      <c r="J166" s="12" t="n"/>
      <c r="K166" s="14" t="n"/>
    </row>
    <row r="167" hidden="1" s="79">
      <c r="C167" s="20" t="n"/>
      <c r="D167" s="20" t="n"/>
      <c r="E167" s="20" t="n"/>
      <c r="K167" s="14" t="n"/>
    </row>
    <row r="168" hidden="1" s="79">
      <c r="C168" s="20" t="n"/>
      <c r="D168" s="20" t="n"/>
      <c r="E168" s="20" t="n"/>
      <c r="I168" s="14" t="n"/>
      <c r="J168" s="12" t="n"/>
      <c r="K168" s="14" t="n"/>
    </row>
    <row r="169" hidden="1" s="79">
      <c r="C169" s="20" t="n"/>
      <c r="D169" s="20" t="n"/>
      <c r="E169" s="20" t="n"/>
      <c r="K169" s="14" t="n"/>
    </row>
    <row r="170" hidden="1" s="79">
      <c r="C170" s="20" t="n"/>
      <c r="D170" s="20" t="n"/>
      <c r="E170" s="20" t="n"/>
      <c r="I170" s="14" t="n"/>
      <c r="J170" s="12" t="n"/>
      <c r="K170" s="14" t="n"/>
    </row>
    <row r="171" hidden="1" s="79">
      <c r="C171" s="20" t="n"/>
      <c r="D171" s="20" t="n"/>
      <c r="E171" s="20" t="n"/>
      <c r="I171" s="14" t="n"/>
      <c r="J171" s="12" t="n"/>
      <c r="K171" s="14" t="n"/>
    </row>
    <row r="172" hidden="1" s="79">
      <c r="C172" s="20" t="n"/>
      <c r="D172" s="20" t="n"/>
      <c r="E172" s="20" t="n"/>
      <c r="I172" s="14" t="n"/>
      <c r="J172" s="12" t="n"/>
      <c r="K172" s="14" t="n"/>
    </row>
    <row r="173" hidden="1" s="79">
      <c r="C173" s="20" t="n"/>
      <c r="D173" s="20" t="n"/>
      <c r="E173" s="20" t="n"/>
      <c r="I173" s="14" t="n"/>
      <c r="J173" s="12" t="n"/>
      <c r="K173" s="14" t="n"/>
    </row>
    <row r="174" hidden="1" s="79">
      <c r="C174" s="20" t="n"/>
      <c r="D174" s="20" t="n"/>
      <c r="E174" s="20" t="n"/>
      <c r="I174" s="14" t="n"/>
      <c r="J174" s="12" t="n"/>
      <c r="K174" s="14" t="n"/>
    </row>
    <row r="175" hidden="1" s="79">
      <c r="C175" s="20" t="n"/>
      <c r="D175" s="20" t="n"/>
      <c r="E175" s="20" t="n"/>
      <c r="I175" s="14" t="n"/>
      <c r="J175" s="12" t="n"/>
      <c r="K175" s="14" t="n"/>
    </row>
    <row r="176" hidden="1" s="79">
      <c r="C176" s="20" t="n"/>
      <c r="D176" s="20" t="n"/>
      <c r="E176" s="20" t="n"/>
      <c r="I176" s="14" t="n"/>
      <c r="J176" s="12" t="n"/>
      <c r="K176" s="14" t="n"/>
    </row>
    <row r="177" hidden="1" s="79">
      <c r="C177" s="20" t="n"/>
      <c r="D177" s="20" t="n"/>
      <c r="E177" s="20" t="n"/>
      <c r="I177" s="14" t="n"/>
      <c r="J177" s="12" t="n"/>
      <c r="K177" s="14" t="n"/>
      <c r="N177" s="76" t="n"/>
    </row>
    <row r="178" hidden="1" s="79">
      <c r="C178" s="20" t="n"/>
      <c r="D178" s="20" t="n"/>
      <c r="E178" s="20" t="n"/>
      <c r="I178" s="14" t="n"/>
      <c r="J178" s="12" t="n"/>
      <c r="K178" s="14" t="n"/>
    </row>
    <row r="179" hidden="1" s="79">
      <c r="C179" s="20" t="n"/>
      <c r="D179" s="20" t="n"/>
      <c r="E179" s="20" t="n"/>
      <c r="K179" s="14" t="n"/>
    </row>
    <row r="180" hidden="1" s="79">
      <c r="C180" s="20" t="n"/>
      <c r="D180" s="20" t="n"/>
      <c r="E180" s="20" t="n"/>
      <c r="I180" s="14" t="n"/>
      <c r="J180" s="12" t="n"/>
      <c r="K180" s="14" t="n"/>
    </row>
    <row r="181" hidden="1" s="79">
      <c r="C181" s="20" t="n"/>
      <c r="D181" s="20" t="n"/>
      <c r="E181" s="20" t="n"/>
      <c r="K181" s="14" t="n"/>
    </row>
    <row r="182" hidden="1" s="79">
      <c r="C182" s="20" t="n"/>
      <c r="D182" s="20" t="n"/>
      <c r="E182" s="20" t="n"/>
      <c r="K182" s="14" t="n"/>
    </row>
    <row r="183" hidden="1" s="79">
      <c r="C183" s="20" t="n"/>
      <c r="D183" s="20" t="n"/>
      <c r="E183" s="20" t="n"/>
      <c r="I183" s="14" t="n"/>
      <c r="J183" s="12" t="n"/>
      <c r="K183" s="14" t="n"/>
    </row>
    <row r="184" hidden="1" s="79">
      <c r="C184" s="20" t="n"/>
      <c r="D184" s="20" t="n"/>
      <c r="E184" s="20" t="n"/>
      <c r="I184" s="14" t="n"/>
      <c r="J184" s="12" t="n"/>
      <c r="K184" s="14" t="n"/>
    </row>
    <row r="185" hidden="1" s="79">
      <c r="C185" s="20" t="n"/>
      <c r="D185" s="20" t="n"/>
      <c r="E185" s="20" t="n"/>
      <c r="I185" s="14" t="n"/>
      <c r="J185" s="12" t="n"/>
      <c r="K185" s="14" t="n"/>
    </row>
    <row r="186" hidden="1" s="79">
      <c r="C186" s="20" t="n"/>
      <c r="D186" s="20" t="n"/>
      <c r="E186" s="20" t="n"/>
      <c r="I186" s="14" t="n"/>
      <c r="J186" s="12" t="n"/>
      <c r="K186" s="14" t="n"/>
    </row>
    <row r="187" hidden="1" s="79">
      <c r="C187" s="20" t="n"/>
      <c r="D187" s="20" t="n"/>
      <c r="E187" s="20" t="n"/>
    </row>
    <row r="188" hidden="1" s="79">
      <c r="C188" s="20" t="n"/>
      <c r="D188" s="20" t="n"/>
      <c r="E188" s="20" t="n"/>
      <c r="I188" s="14" t="n"/>
      <c r="J188" s="12" t="n"/>
      <c r="K188" s="14" t="n"/>
    </row>
    <row r="189" hidden="1" s="79">
      <c r="C189" s="20" t="n"/>
      <c r="D189" s="20" t="n"/>
      <c r="E189" s="20" t="n"/>
      <c r="I189" s="14" t="n"/>
      <c r="J189" s="12" t="n"/>
      <c r="K189" s="14" t="n"/>
    </row>
    <row r="190" hidden="1" s="79">
      <c r="C190" s="20" t="n"/>
      <c r="D190" s="20" t="n"/>
      <c r="E190" s="20" t="n"/>
    </row>
    <row r="191" hidden="1" s="79">
      <c r="C191" s="20" t="n"/>
      <c r="D191" s="20" t="n"/>
      <c r="E191" s="20" t="n"/>
      <c r="I191" s="14" t="n"/>
      <c r="J191" s="12" t="n"/>
      <c r="N191" s="76" t="n"/>
    </row>
    <row r="192" hidden="1" s="79">
      <c r="C192" s="20" t="n"/>
      <c r="D192" s="20" t="n"/>
      <c r="E192" s="20" t="n"/>
    </row>
    <row r="193" hidden="1" s="79">
      <c r="C193" s="20" t="n"/>
      <c r="D193" s="20" t="n"/>
      <c r="E193" s="20" t="n"/>
      <c r="I193" s="14" t="n"/>
      <c r="J193" s="12" t="n"/>
      <c r="K193" s="14" t="n"/>
    </row>
    <row r="194" hidden="1" s="79">
      <c r="C194" s="20" t="n"/>
      <c r="D194" s="20" t="n"/>
      <c r="E194" s="20" t="n"/>
      <c r="I194" s="14" t="n"/>
      <c r="J194" s="12" t="n"/>
      <c r="K194" s="14" t="n"/>
    </row>
    <row r="195" hidden="1" s="79">
      <c r="C195" s="20" t="n"/>
      <c r="D195" s="20" t="n"/>
      <c r="E195" s="20" t="n"/>
      <c r="I195" s="14" t="n"/>
      <c r="J195" s="12" t="n"/>
      <c r="K195" s="14" t="n"/>
      <c r="N195" s="76" t="n"/>
    </row>
    <row r="196" hidden="1" s="79">
      <c r="C196" s="20" t="n"/>
      <c r="D196" s="20" t="n"/>
      <c r="E196" s="20" t="n"/>
    </row>
    <row r="197" hidden="1" s="79">
      <c r="C197" s="20" t="n"/>
      <c r="D197" s="20" t="n"/>
      <c r="E197" s="20" t="n"/>
    </row>
    <row r="198" hidden="1" s="79">
      <c r="C198" s="20" t="n"/>
      <c r="D198" s="20" t="n"/>
      <c r="E198" s="20" t="n"/>
      <c r="N198" s="76" t="n"/>
    </row>
    <row r="199" hidden="1" s="79">
      <c r="C199" s="20" t="n"/>
      <c r="D199" s="20" t="n"/>
      <c r="E199" s="20" t="n"/>
      <c r="I199" s="14" t="n"/>
      <c r="J199" s="12" t="n"/>
      <c r="K199" s="14" t="n"/>
    </row>
    <row r="200" hidden="1" s="79">
      <c r="C200" s="20" t="n"/>
      <c r="D200" s="20" t="n"/>
      <c r="E200" s="20" t="n"/>
      <c r="K200" s="14" t="n"/>
    </row>
    <row r="201" hidden="1" s="79">
      <c r="C201" s="20" t="n"/>
      <c r="D201" s="20" t="n"/>
      <c r="E201" s="20" t="n"/>
      <c r="I201" s="14" t="n"/>
      <c r="J201" s="12" t="n"/>
      <c r="K201" s="14" t="n"/>
    </row>
    <row r="202" hidden="1" s="79">
      <c r="C202" s="20" t="n"/>
      <c r="D202" s="20" t="n"/>
      <c r="E202" s="20" t="n"/>
      <c r="I202" s="12" t="n"/>
      <c r="J202" s="12" t="n"/>
      <c r="K202" s="14" t="n"/>
    </row>
    <row r="203" hidden="1" s="79">
      <c r="C203" s="20" t="n"/>
      <c r="D203" s="20" t="n"/>
      <c r="E203" s="20" t="n"/>
      <c r="I203" s="14" t="n"/>
      <c r="J203" s="12" t="n"/>
      <c r="K203" s="14" t="n"/>
    </row>
    <row r="204" hidden="1" s="79">
      <c r="C204" s="20" t="n"/>
      <c r="D204" s="20" t="n"/>
      <c r="E204" s="20" t="n"/>
    </row>
    <row r="205" hidden="1" s="79">
      <c r="C205" s="20" t="n"/>
      <c r="D205" s="20" t="n"/>
      <c r="E205" s="20" t="n"/>
    </row>
    <row r="206" hidden="1" s="79">
      <c r="C206" s="20" t="n"/>
      <c r="D206" s="20" t="n"/>
      <c r="E206" s="20" t="n"/>
      <c r="K206" s="14" t="n"/>
    </row>
    <row r="207" hidden="1" s="79">
      <c r="C207" s="20" t="n"/>
      <c r="D207" s="20" t="n"/>
      <c r="E207" s="20" t="n"/>
    </row>
    <row r="208" hidden="1" s="79">
      <c r="C208" s="20" t="n"/>
      <c r="D208" s="20" t="n"/>
      <c r="E208" s="20" t="n"/>
    </row>
    <row r="209" hidden="1" s="79">
      <c r="C209" s="20" t="n"/>
      <c r="D209" s="20" t="n"/>
      <c r="E209" s="20" t="n"/>
    </row>
    <row r="210" hidden="1" s="79">
      <c r="C210" s="20" t="n"/>
      <c r="D210" s="20" t="n"/>
      <c r="E210" s="20" t="n"/>
    </row>
    <row r="211" hidden="1" s="79">
      <c r="C211" s="20" t="n"/>
      <c r="D211" s="20" t="n"/>
      <c r="E211" s="20" t="n"/>
      <c r="I211" s="14" t="n"/>
      <c r="J211" s="12" t="n"/>
      <c r="K211" s="14" t="n"/>
    </row>
    <row r="212" hidden="1" s="79">
      <c r="C212" s="20" t="n"/>
      <c r="D212" s="20" t="n"/>
      <c r="E212" s="20" t="n"/>
    </row>
    <row r="213" hidden="1" s="79">
      <c r="C213" s="20" t="n"/>
      <c r="D213" s="20" t="n"/>
      <c r="E213" s="20" t="n"/>
      <c r="N213" s="76" t="n"/>
    </row>
    <row r="214" hidden="1" s="79">
      <c r="C214" s="20" t="n"/>
      <c r="D214" s="20" t="n"/>
      <c r="E214" s="20" t="n"/>
    </row>
    <row r="215" hidden="1" s="79">
      <c r="C215" s="20" t="n"/>
      <c r="D215" s="20" t="n"/>
      <c r="E215" s="20" t="n"/>
    </row>
    <row r="216" hidden="1" s="79">
      <c r="C216" s="20" t="n"/>
      <c r="D216" s="20" t="n"/>
      <c r="E216" s="20" t="n"/>
    </row>
    <row r="217" hidden="1" s="79">
      <c r="C217" s="20" t="n"/>
      <c r="D217" s="20" t="n"/>
      <c r="E217" s="20" t="n"/>
      <c r="I217" s="14" t="n"/>
      <c r="J217" s="12" t="n"/>
      <c r="K217" s="14" t="n"/>
      <c r="N217" s="78" t="n"/>
    </row>
    <row r="218" hidden="1" s="79">
      <c r="C218" s="20" t="n"/>
      <c r="D218" s="20" t="n"/>
      <c r="E218" s="20" t="n"/>
    </row>
    <row r="219" hidden="1" s="79">
      <c r="C219" s="20" t="n"/>
      <c r="D219" s="20" t="n"/>
      <c r="E219" s="20" t="n"/>
      <c r="I219" s="14" t="n"/>
      <c r="J219" s="12" t="n"/>
      <c r="K219" s="14" t="n"/>
    </row>
    <row r="220" hidden="1" s="79">
      <c r="C220" s="20" t="n"/>
      <c r="D220" s="20" t="n"/>
      <c r="E220" s="20" t="n"/>
    </row>
    <row r="221" hidden="1" s="79">
      <c r="C221" s="20" t="n"/>
      <c r="D221" s="20" t="n"/>
      <c r="E221" s="20" t="n"/>
    </row>
    <row r="222" hidden="1" s="79">
      <c r="C222" s="20" t="n"/>
      <c r="D222" s="20" t="n"/>
      <c r="E222" s="20" t="n"/>
    </row>
    <row r="223" hidden="1" s="79">
      <c r="C223" s="20" t="n"/>
      <c r="D223" s="20" t="n"/>
      <c r="E223" s="20" t="n"/>
    </row>
    <row r="224" hidden="1" s="79">
      <c r="C224" s="20" t="n"/>
      <c r="D224" s="20" t="n"/>
      <c r="E224" s="20" t="n"/>
    </row>
    <row r="225" hidden="1" s="79">
      <c r="C225" s="20" t="n"/>
      <c r="D225" s="20" t="n"/>
      <c r="E225" s="20" t="n"/>
      <c r="N225" s="76" t="n"/>
    </row>
    <row r="226" hidden="1" s="79">
      <c r="C226" s="20" t="n"/>
      <c r="D226" s="20" t="n"/>
      <c r="E226" s="20" t="n"/>
      <c r="N226" s="76" t="n"/>
    </row>
    <row r="227" hidden="1" s="79">
      <c r="C227" s="20" t="n"/>
      <c r="D227" s="20" t="n"/>
      <c r="E227" s="20" t="n"/>
    </row>
    <row r="228" hidden="1" s="79">
      <c r="C228" s="20" t="n"/>
      <c r="D228" s="20" t="n"/>
      <c r="E228" s="20" t="n"/>
    </row>
    <row r="229" hidden="1" s="79">
      <c r="C229" s="20" t="n"/>
      <c r="D229" s="20" t="n"/>
      <c r="E229" s="20" t="n"/>
    </row>
    <row r="230" hidden="1" s="79">
      <c r="C230" s="20" t="n"/>
      <c r="D230" s="20" t="n"/>
      <c r="E230" s="20" t="n"/>
    </row>
    <row r="231" hidden="1" s="79">
      <c r="C231" s="20" t="n"/>
      <c r="D231" s="20" t="n"/>
      <c r="E231" s="20" t="n"/>
    </row>
    <row r="232" hidden="1" s="79">
      <c r="C232" s="20" t="n"/>
      <c r="D232" s="20" t="n"/>
      <c r="E232" s="20" t="n"/>
      <c r="N232" s="76" t="n"/>
    </row>
    <row r="233" hidden="1" s="79">
      <c r="C233" s="20" t="n"/>
      <c r="D233" s="20" t="n"/>
      <c r="E233" s="20" t="n"/>
    </row>
    <row r="234" hidden="1" s="79">
      <c r="C234" s="20" t="n"/>
      <c r="D234" s="20" t="n"/>
      <c r="E234" s="20" t="n"/>
    </row>
    <row r="235" hidden="1" s="79">
      <c r="C235" s="20" t="n"/>
      <c r="D235" s="20" t="n"/>
      <c r="E235" s="20" t="n"/>
      <c r="I235" s="14" t="n"/>
      <c r="J235" s="12" t="n"/>
      <c r="K235" s="14" t="n"/>
    </row>
    <row r="236" hidden="1" s="79">
      <c r="C236" s="20" t="n"/>
      <c r="D236" s="20" t="n"/>
      <c r="E236" s="20" t="n"/>
    </row>
    <row r="237" hidden="1" s="79">
      <c r="C237" s="20" t="n"/>
      <c r="D237" s="20" t="n"/>
      <c r="E237" s="20" t="n"/>
    </row>
    <row r="238" hidden="1" s="79">
      <c r="C238" s="20" t="n"/>
      <c r="D238" s="20" t="n"/>
      <c r="E238" s="20" t="n"/>
      <c r="N238" s="76" t="n"/>
    </row>
    <row r="239" hidden="1" s="79">
      <c r="C239" s="20" t="n"/>
      <c r="D239" s="20" t="n"/>
      <c r="E239" s="20" t="n"/>
    </row>
    <row r="240" hidden="1" s="79">
      <c r="C240" s="20" t="n"/>
      <c r="D240" s="20" t="n"/>
      <c r="E240" s="20" t="n"/>
    </row>
    <row r="241" hidden="1" s="79">
      <c r="C241" s="20" t="n"/>
      <c r="D241" s="20" t="n"/>
      <c r="E241" s="20" t="n"/>
    </row>
    <row r="242" hidden="1" s="79">
      <c r="C242" s="20" t="n"/>
      <c r="D242" s="20" t="n"/>
      <c r="E242" s="20" t="n"/>
    </row>
    <row r="243" hidden="1" s="79">
      <c r="C243" s="20" t="n"/>
      <c r="D243" s="20" t="n"/>
      <c r="E243" s="20" t="n"/>
    </row>
    <row r="244" hidden="1" s="79">
      <c r="C244" s="20" t="n"/>
      <c r="D244" s="20" t="n"/>
      <c r="E244" s="20" t="n"/>
    </row>
    <row r="245" hidden="1" s="79">
      <c r="C245" s="20" t="n"/>
      <c r="D245" s="20" t="n"/>
      <c r="E245" s="20" t="n"/>
    </row>
    <row r="246" hidden="1" s="79">
      <c r="C246" s="20" t="n"/>
      <c r="D246" s="20" t="n"/>
      <c r="E246" s="20" t="n"/>
    </row>
    <row r="247" hidden="1" s="79">
      <c r="C247" s="20" t="n"/>
      <c r="D247" s="20" t="n"/>
      <c r="E247" s="20" t="n"/>
    </row>
    <row r="248" hidden="1" s="79">
      <c r="C248" s="20" t="n"/>
      <c r="D248" s="20" t="n"/>
      <c r="E248" s="20" t="n"/>
    </row>
    <row r="249" hidden="1" s="79">
      <c r="C249" s="20" t="n"/>
      <c r="D249" s="20" t="n"/>
      <c r="E249" s="20" t="n"/>
    </row>
    <row r="250" hidden="1" s="79">
      <c r="C250" s="20" t="n"/>
      <c r="D250" s="20" t="n"/>
      <c r="E250" s="20" t="n"/>
    </row>
    <row r="251" hidden="1" s="79">
      <c r="C251" s="20" t="n"/>
      <c r="D251" s="20" t="n"/>
      <c r="E251" s="20" t="n"/>
    </row>
    <row r="252" hidden="1" s="79">
      <c r="C252" s="20" t="n"/>
      <c r="D252" s="20" t="n"/>
      <c r="E252" s="20" t="n"/>
    </row>
    <row r="253" hidden="1" s="79">
      <c r="C253" s="20" t="n"/>
      <c r="D253" s="20" t="n"/>
      <c r="E253" s="20" t="n"/>
    </row>
    <row r="254" hidden="1" s="79">
      <c r="C254" s="20" t="n"/>
      <c r="D254" s="20" t="n"/>
      <c r="E254" s="20" t="n"/>
    </row>
    <row r="255" hidden="1" s="79">
      <c r="C255" s="20" t="n"/>
      <c r="D255" s="20" t="n"/>
      <c r="E255" s="20" t="n"/>
      <c r="N255" s="76" t="n"/>
    </row>
    <row r="256" hidden="1" s="79">
      <c r="C256" s="20" t="n"/>
      <c r="D256" s="20" t="n"/>
      <c r="E256" s="20" t="n"/>
      <c r="N256" s="76" t="n"/>
    </row>
    <row r="257" hidden="1" s="79">
      <c r="C257" s="20" t="n"/>
      <c r="D257" s="20" t="n"/>
      <c r="E257" s="20" t="n"/>
    </row>
    <row r="258" hidden="1" s="79">
      <c r="C258" s="20" t="n"/>
      <c r="D258" s="20" t="n"/>
      <c r="E258" s="20" t="n"/>
      <c r="N258" s="76" t="n"/>
    </row>
    <row r="259" hidden="1" s="79">
      <c r="C259" s="20" t="n"/>
      <c r="D259" s="20" t="n"/>
      <c r="E259" s="20" t="n"/>
    </row>
    <row r="260" hidden="1" s="79">
      <c r="C260" s="20" t="n"/>
      <c r="D260" s="20" t="n"/>
      <c r="E260" s="20" t="n"/>
    </row>
    <row r="261" hidden="1" s="79">
      <c r="C261" s="20" t="n"/>
      <c r="D261" s="20" t="n"/>
      <c r="E261" s="20" t="n"/>
    </row>
    <row r="262" hidden="1" s="79">
      <c r="C262" s="20" t="n"/>
      <c r="D262" s="20" t="n"/>
      <c r="E262" s="20" t="n"/>
    </row>
    <row r="263" hidden="1" s="79">
      <c r="C263" s="20" t="n"/>
      <c r="D263" s="20" t="n"/>
      <c r="E263" s="20" t="n"/>
    </row>
    <row r="264" hidden="1" s="79">
      <c r="C264" s="20" t="n"/>
      <c r="D264" s="20" t="n"/>
      <c r="E264" s="20" t="n"/>
      <c r="N264" s="76" t="n"/>
    </row>
    <row r="265" hidden="1" s="79">
      <c r="C265" s="20" t="n"/>
      <c r="D265" s="20" t="n"/>
      <c r="E265" s="20" t="n"/>
    </row>
    <row r="266" hidden="1" s="79">
      <c r="C266" s="20" t="n"/>
      <c r="D266" s="20" t="n"/>
      <c r="E266" s="20" t="n"/>
    </row>
    <row r="267" hidden="1" s="79">
      <c r="C267" s="20" t="n"/>
      <c r="D267" s="20" t="n"/>
      <c r="E267" s="20" t="n"/>
    </row>
    <row r="268" hidden="1" s="79">
      <c r="C268" s="20" t="n"/>
      <c r="D268" s="20" t="n"/>
      <c r="E268" s="20" t="n"/>
    </row>
    <row r="269" hidden="1" s="79">
      <c r="C269" s="20" t="n"/>
      <c r="D269" s="20" t="n"/>
      <c r="E269" s="20" t="n"/>
    </row>
    <row r="270" hidden="1" s="79">
      <c r="C270" s="20" t="n"/>
      <c r="D270" s="20" t="n"/>
      <c r="E270" s="20" t="n"/>
    </row>
    <row r="271" hidden="1" s="79">
      <c r="C271" s="20" t="n"/>
      <c r="D271" s="20" t="n"/>
      <c r="E271" s="20" t="n"/>
    </row>
    <row r="272" hidden="1" s="79">
      <c r="C272" s="20" t="n"/>
      <c r="D272" s="20" t="n"/>
      <c r="E272" s="20" t="n"/>
    </row>
    <row r="273" hidden="1" s="79">
      <c r="C273" s="20" t="n"/>
      <c r="D273" s="20" t="n"/>
      <c r="E273" s="20" t="n"/>
    </row>
    <row r="274" hidden="1" s="79">
      <c r="C274" s="20" t="n"/>
      <c r="D274" s="20" t="n"/>
      <c r="E274" s="20" t="n"/>
      <c r="N274" s="76" t="n"/>
    </row>
    <row r="275" hidden="1" s="79">
      <c r="C275" s="20" t="n"/>
      <c r="D275" s="20" t="n"/>
      <c r="E275" s="20" t="n"/>
      <c r="I275" s="12" t="n"/>
      <c r="J275" s="57" t="n"/>
    </row>
    <row r="276" hidden="1" s="79">
      <c r="C276" s="20" t="n"/>
      <c r="D276" s="20" t="n"/>
      <c r="E276" s="20" t="n"/>
    </row>
    <row r="277" hidden="1" s="79">
      <c r="C277" s="20" t="n"/>
      <c r="D277" s="20" t="n"/>
      <c r="E277" s="20" t="n"/>
    </row>
    <row r="278" hidden="1" s="79">
      <c r="C278" s="20" t="n"/>
      <c r="D278" s="20" t="n"/>
      <c r="E278" s="20" t="n"/>
      <c r="N278" s="76" t="n"/>
    </row>
    <row r="279" hidden="1" s="79">
      <c r="C279" s="20" t="n"/>
      <c r="D279" s="20" t="n"/>
      <c r="E279" s="20" t="n"/>
    </row>
    <row r="280" hidden="1" s="79">
      <c r="C280" s="20" t="n"/>
      <c r="D280" s="20" t="n"/>
      <c r="E280" s="20" t="n"/>
    </row>
    <row r="281" hidden="1" s="79">
      <c r="C281" s="20" t="n"/>
      <c r="D281" s="20" t="n"/>
      <c r="E281" s="20" t="n"/>
    </row>
    <row r="282" hidden="1" s="79">
      <c r="C282" s="20" t="n"/>
      <c r="D282" s="20" t="n"/>
      <c r="E282" s="20" t="n"/>
    </row>
    <row r="283" hidden="1" s="79">
      <c r="C283" s="20" t="n"/>
      <c r="D283" s="20" t="n"/>
      <c r="E283" s="20" t="n"/>
    </row>
    <row r="284" hidden="1" s="79">
      <c r="C284" s="20" t="n"/>
      <c r="D284" s="20" t="n"/>
      <c r="E284" s="20" t="n"/>
    </row>
    <row r="285" hidden="1" s="79">
      <c r="C285" s="20" t="n"/>
      <c r="D285" s="20" t="n"/>
      <c r="E285" s="20" t="n"/>
    </row>
    <row r="286" hidden="1" s="79">
      <c r="C286" s="20" t="n"/>
      <c r="D286" s="20" t="n"/>
      <c r="E286" s="20" t="n"/>
    </row>
    <row r="287" hidden="1" s="79">
      <c r="C287" s="20" t="n"/>
      <c r="D287" s="20" t="n"/>
      <c r="E287" s="20" t="n"/>
    </row>
    <row r="288" hidden="1" s="79">
      <c r="C288" s="20" t="n"/>
      <c r="D288" s="20" t="n"/>
      <c r="E288" s="20" t="n"/>
      <c r="J288" s="12" t="n"/>
      <c r="N288" s="76" t="n"/>
    </row>
    <row r="289" hidden="1" s="79">
      <c r="C289" s="20" t="n"/>
      <c r="D289" s="20" t="n"/>
      <c r="E289" s="20" t="n"/>
      <c r="N289" s="76" t="n"/>
    </row>
    <row r="290" hidden="1" s="79">
      <c r="C290" s="20" t="n"/>
      <c r="D290" s="20" t="n"/>
      <c r="E290" s="20" t="n"/>
    </row>
    <row r="291" hidden="1" s="79">
      <c r="C291" s="20" t="n"/>
      <c r="D291" s="20" t="n"/>
      <c r="E291" s="20" t="n"/>
    </row>
    <row r="292" hidden="1" s="79">
      <c r="C292" s="20" t="n"/>
      <c r="D292" s="20" t="n"/>
      <c r="E292" s="20" t="n"/>
    </row>
    <row r="293" hidden="1" s="79">
      <c r="C293" s="20" t="n"/>
      <c r="D293" s="20" t="n"/>
      <c r="E293" s="20" t="n"/>
    </row>
    <row r="294" hidden="1" s="79">
      <c r="C294" s="20" t="n"/>
      <c r="D294" s="20" t="n"/>
      <c r="E294" s="20" t="n"/>
    </row>
    <row r="295" hidden="1" s="79">
      <c r="C295" s="20" t="n"/>
      <c r="D295" s="20" t="n"/>
      <c r="E295" s="20" t="n"/>
    </row>
    <row r="296" hidden="1" s="79">
      <c r="C296" s="20" t="n"/>
      <c r="D296" s="20" t="n"/>
      <c r="E296" s="20" t="n"/>
      <c r="N296" s="76" t="n"/>
    </row>
    <row r="297" hidden="1" s="79">
      <c r="C297" s="20" t="n"/>
      <c r="D297" s="20" t="n"/>
      <c r="E297" s="20" t="n"/>
      <c r="N297" s="76" t="n"/>
    </row>
    <row r="298" hidden="1" s="79">
      <c r="C298" s="20" t="n"/>
      <c r="D298" s="20" t="n"/>
      <c r="E298" s="20" t="n"/>
    </row>
    <row r="299" hidden="1" s="79">
      <c r="C299" s="20" t="n"/>
      <c r="D299" s="20" t="n"/>
      <c r="E299" s="20" t="n"/>
    </row>
    <row r="300" hidden="1" s="79">
      <c r="C300" s="20" t="n"/>
      <c r="D300" s="20" t="n"/>
      <c r="E300" s="20" t="n"/>
    </row>
    <row r="301" hidden="1" s="79">
      <c r="C301" s="20" t="n"/>
      <c r="D301" s="20" t="n"/>
      <c r="E301" s="20" t="n"/>
    </row>
    <row r="302" hidden="1" s="79">
      <c r="C302" s="20" t="n"/>
      <c r="D302" s="20" t="n"/>
      <c r="E302" s="20" t="n"/>
    </row>
    <row r="303" hidden="1" s="79">
      <c r="C303" s="20" t="n"/>
      <c r="D303" s="20" t="n"/>
      <c r="E303" s="20" t="n"/>
      <c r="I303" s="12" t="n"/>
      <c r="J303" s="12" t="n"/>
    </row>
    <row r="304" hidden="1" s="79">
      <c r="C304" s="20" t="n"/>
      <c r="D304" s="20" t="n"/>
      <c r="E304" s="20" t="n"/>
    </row>
    <row r="305" hidden="1" s="79">
      <c r="C305" s="20" t="n"/>
      <c r="D305" s="20" t="n"/>
      <c r="E305" s="20" t="n"/>
    </row>
    <row r="306" hidden="1" s="79">
      <c r="C306" s="20" t="n"/>
      <c r="D306" s="20" t="n"/>
      <c r="E306" s="20" t="n"/>
    </row>
    <row r="307" hidden="1" s="79">
      <c r="C307" s="20" t="n"/>
      <c r="D307" s="20" t="n"/>
      <c r="E307" s="20" t="n"/>
    </row>
    <row r="308" hidden="1" s="79">
      <c r="C308" s="20" t="n"/>
      <c r="D308" s="20" t="n"/>
      <c r="E308" s="20" t="n"/>
    </row>
    <row r="309" hidden="1" s="79">
      <c r="C309" s="20" t="n"/>
      <c r="D309" s="20" t="n"/>
      <c r="E309" s="20" t="n"/>
    </row>
    <row r="310" hidden="1" s="79">
      <c r="C310" s="20" t="n"/>
      <c r="D310" s="20" t="n"/>
      <c r="E310" s="20" t="n"/>
    </row>
    <row r="311" hidden="1" s="79">
      <c r="C311" s="20" t="n"/>
      <c r="D311" s="20" t="n"/>
      <c r="E311" s="20" t="n"/>
    </row>
    <row r="312" hidden="1" s="79">
      <c r="C312" s="20" t="n"/>
      <c r="D312" s="20" t="n"/>
      <c r="E312" s="20" t="n"/>
    </row>
    <row r="313" hidden="1" s="79">
      <c r="C313" s="20" t="n"/>
      <c r="D313" s="20" t="n"/>
      <c r="E313" s="20" t="n"/>
    </row>
    <row r="314" hidden="1" s="79">
      <c r="C314" s="20" t="n"/>
      <c r="D314" s="20" t="n"/>
      <c r="E314" s="20" t="n"/>
    </row>
    <row r="315" hidden="1" s="79">
      <c r="C315" s="20" t="n"/>
      <c r="D315" s="20" t="n"/>
      <c r="E315" s="20" t="n"/>
    </row>
    <row r="316" hidden="1" s="79">
      <c r="C316" s="20" t="n"/>
      <c r="D316" s="20" t="n"/>
      <c r="E316" s="20" t="n"/>
    </row>
    <row r="317" hidden="1" s="79">
      <c r="C317" s="20" t="n"/>
      <c r="D317" s="20" t="n"/>
      <c r="E317" s="20" t="n"/>
    </row>
    <row r="318" hidden="1" s="79">
      <c r="C318" s="20" t="n"/>
      <c r="D318" s="20" t="n"/>
      <c r="E318" s="20" t="n"/>
    </row>
    <row r="319" hidden="1" s="79">
      <c r="C319" s="20" t="n"/>
      <c r="D319" s="20" t="n"/>
      <c r="E319" s="20" t="n"/>
    </row>
    <row r="320" hidden="1" s="79">
      <c r="C320" s="20" t="n"/>
      <c r="D320" s="20" t="n"/>
      <c r="E320" s="20" t="n"/>
    </row>
    <row r="321" hidden="1" s="79">
      <c r="C321" s="20" t="n"/>
      <c r="D321" s="20" t="n"/>
      <c r="E321" s="20" t="n"/>
    </row>
    <row r="322" hidden="1" s="79">
      <c r="C322" s="20" t="n"/>
      <c r="D322" s="20" t="n"/>
      <c r="E322" s="20" t="n"/>
    </row>
    <row r="323" hidden="1" s="79">
      <c r="C323" s="20" t="n"/>
      <c r="D323" s="20" t="n"/>
      <c r="E323" s="20" t="n"/>
    </row>
    <row r="324" hidden="1" s="79">
      <c r="C324" s="20" t="n"/>
      <c r="D324" s="20" t="n"/>
      <c r="E324" s="20" t="n"/>
    </row>
    <row r="325" hidden="1" s="79">
      <c r="C325" s="20" t="n"/>
      <c r="D325" s="20" t="n"/>
      <c r="E325" s="20" t="n"/>
    </row>
    <row r="326" hidden="1" s="79">
      <c r="C326" s="20" t="n"/>
      <c r="D326" s="20" t="n"/>
      <c r="E326" s="20" t="n"/>
    </row>
    <row r="327" hidden="1" s="79">
      <c r="C327" s="20" t="n"/>
      <c r="D327" s="20" t="n"/>
      <c r="E327" s="20" t="n"/>
    </row>
    <row r="328" hidden="1" s="79">
      <c r="C328" s="20" t="n"/>
      <c r="D328" s="20" t="n"/>
      <c r="E328" s="20" t="n"/>
    </row>
    <row r="329" hidden="1" s="79">
      <c r="C329" s="20" t="n"/>
      <c r="D329" s="20" t="n"/>
      <c r="E329" s="20" t="n"/>
    </row>
    <row r="330" hidden="1" s="79">
      <c r="C330" s="20" t="n"/>
      <c r="D330" s="20" t="n"/>
      <c r="E330" s="20" t="n"/>
    </row>
    <row r="331" hidden="1" s="79">
      <c r="C331" s="20" t="n"/>
      <c r="D331" s="20" t="n"/>
      <c r="E331" s="20" t="n"/>
    </row>
    <row r="332" hidden="1" s="79">
      <c r="C332" s="20" t="n"/>
      <c r="D332" s="20" t="n"/>
      <c r="E332" s="20" t="n"/>
    </row>
    <row r="333" hidden="1" s="79">
      <c r="C333" s="20" t="n"/>
      <c r="D333" s="20" t="n"/>
      <c r="E333" s="20" t="n"/>
    </row>
    <row r="334" hidden="1" s="79">
      <c r="C334" s="20" t="n"/>
      <c r="D334" s="20" t="n"/>
      <c r="E334" s="20" t="n"/>
    </row>
    <row r="335" hidden="1" s="79">
      <c r="C335" s="20" t="n"/>
      <c r="D335" s="20" t="n"/>
      <c r="E335" s="20" t="n"/>
    </row>
    <row r="336" hidden="1" s="79">
      <c r="C336" s="20" t="n"/>
      <c r="D336" s="20" t="n"/>
      <c r="E336" s="20" t="n"/>
    </row>
    <row r="337" hidden="1" s="79">
      <c r="C337" s="20" t="n"/>
      <c r="D337" s="20" t="n"/>
      <c r="E337" s="20" t="n"/>
    </row>
    <row r="338" hidden="1" s="79">
      <c r="C338" s="20" t="n"/>
      <c r="D338" s="20" t="n"/>
      <c r="E338" s="20" t="n"/>
    </row>
    <row r="339" hidden="1" s="79">
      <c r="C339" s="20" t="n"/>
      <c r="D339" s="20" t="n"/>
      <c r="E339" s="20" t="n"/>
    </row>
    <row r="340" hidden="1" s="79">
      <c r="C340" s="20" t="n"/>
      <c r="D340" s="20" t="n"/>
      <c r="E340" s="20" t="n"/>
    </row>
    <row r="341" hidden="1" s="79">
      <c r="C341" s="20" t="n"/>
      <c r="D341" s="20" t="n"/>
      <c r="E341" s="20" t="n"/>
    </row>
    <row r="342" hidden="1" s="79">
      <c r="C342" s="20" t="n"/>
      <c r="D342" s="20" t="n"/>
      <c r="E342" s="20" t="n"/>
    </row>
    <row r="343" hidden="1" s="79">
      <c r="C343" s="20" t="n"/>
      <c r="D343" s="20" t="n"/>
      <c r="E343" s="20" t="n"/>
    </row>
    <row r="344" hidden="1" s="79">
      <c r="C344" s="20" t="n"/>
      <c r="D344" s="20" t="n"/>
      <c r="E344" s="20" t="n"/>
    </row>
    <row r="345" hidden="1" s="79">
      <c r="C345" s="20" t="n"/>
      <c r="D345" s="20" t="n"/>
      <c r="E345" s="20" t="n"/>
    </row>
    <row r="346" hidden="1" s="79">
      <c r="C346" s="20" t="n"/>
      <c r="D346" s="20" t="n"/>
      <c r="E346" s="20" t="n"/>
    </row>
    <row r="347" hidden="1" customFormat="1" s="1">
      <c r="A347" s="74" t="n"/>
      <c r="B347" s="12" t="n"/>
      <c r="C347" s="20" t="n"/>
      <c r="D347" s="20" t="n"/>
      <c r="E347" s="20" t="n"/>
      <c r="F347" s="12" t="n"/>
      <c r="G347" s="12" t="n"/>
      <c r="H347" s="12" t="n"/>
      <c r="I347" s="38" t="n"/>
      <c r="J347" s="39" t="n"/>
      <c r="K347" s="38" t="n"/>
      <c r="L347" s="75" t="n"/>
      <c r="M347" s="12" t="n"/>
      <c r="N347" s="76" t="n"/>
      <c r="O347" s="12" t="n"/>
      <c r="P347" s="12" t="n"/>
      <c r="Q347" s="12" t="n"/>
      <c r="R347" s="77" t="n"/>
    </row>
    <row r="348" hidden="1" s="79">
      <c r="C348" s="20" t="n"/>
      <c r="D348" s="20" t="n"/>
      <c r="E348" s="20" t="n"/>
    </row>
    <row r="349" hidden="1" s="79">
      <c r="C349" s="20" t="n"/>
      <c r="D349" s="20" t="n"/>
      <c r="E349" s="20" t="n"/>
    </row>
    <row r="350" hidden="1" s="79">
      <c r="C350" s="20" t="n"/>
      <c r="D350" s="20" t="n"/>
      <c r="E350" s="20" t="n"/>
    </row>
    <row r="351" hidden="1" s="79">
      <c r="C351" s="20" t="n"/>
      <c r="D351" s="20" t="n"/>
      <c r="E351" s="20" t="n"/>
      <c r="I351" s="12" t="n"/>
      <c r="J351" s="12" t="n"/>
    </row>
    <row r="352" hidden="1" s="79">
      <c r="C352" s="20" t="n"/>
      <c r="D352" s="20" t="n"/>
      <c r="E352" s="20" t="n"/>
    </row>
    <row r="353" hidden="1" s="79">
      <c r="C353" s="20" t="n"/>
      <c r="D353" s="20" t="n"/>
      <c r="E353" s="20" t="n"/>
      <c r="N353" s="76" t="n"/>
    </row>
    <row r="354" hidden="1" s="79">
      <c r="C354" s="20" t="n"/>
      <c r="D354" s="20" t="n"/>
      <c r="E354" s="20" t="n"/>
    </row>
    <row r="355" hidden="1" s="79">
      <c r="C355" s="20" t="n"/>
      <c r="D355" s="20" t="n"/>
      <c r="E355" s="20" t="n"/>
    </row>
    <row r="356" hidden="1" s="79">
      <c r="C356" s="20" t="n"/>
      <c r="D356" s="20" t="n"/>
      <c r="E356" s="20" t="n"/>
    </row>
    <row r="357" hidden="1" s="79">
      <c r="C357" s="20" t="n"/>
      <c r="D357" s="20" t="n"/>
      <c r="E357" s="20" t="n"/>
      <c r="N357" s="76" t="n"/>
    </row>
    <row r="358" hidden="1" s="79">
      <c r="C358" s="20" t="n"/>
      <c r="D358" s="20" t="n"/>
      <c r="E358" s="20" t="n"/>
    </row>
    <row r="359" hidden="1" s="79">
      <c r="C359" s="20" t="n"/>
      <c r="D359" s="20" t="n"/>
      <c r="E359" s="20" t="n"/>
    </row>
    <row r="360" hidden="1" s="79">
      <c r="C360" s="20" t="n"/>
      <c r="D360" s="20" t="n"/>
      <c r="E360" s="20" t="n"/>
    </row>
    <row r="361" hidden="1" s="79">
      <c r="C361" s="20" t="n"/>
      <c r="D361" s="20" t="n"/>
      <c r="E361" s="20" t="n"/>
    </row>
    <row r="362" hidden="1" s="79">
      <c r="C362" s="20" t="n"/>
      <c r="D362" s="20" t="n"/>
      <c r="E362" s="20" t="n"/>
    </row>
    <row r="363" hidden="1" s="79">
      <c r="C363" s="20" t="n"/>
      <c r="D363" s="20" t="n"/>
      <c r="E363" s="20" t="n"/>
      <c r="N363" s="76" t="n"/>
    </row>
    <row r="364" hidden="1" s="79">
      <c r="C364" s="20" t="n"/>
      <c r="D364" s="20" t="n"/>
      <c r="E364" s="20" t="n"/>
      <c r="N364" s="76" t="n"/>
    </row>
    <row r="365" hidden="1" s="79">
      <c r="C365" s="20" t="n"/>
      <c r="D365" s="20" t="n"/>
      <c r="E365" s="20" t="n"/>
      <c r="N365" s="76" t="n"/>
    </row>
    <row r="366" hidden="1" s="79">
      <c r="C366" s="20" t="n"/>
      <c r="D366" s="20" t="n"/>
      <c r="E366" s="20" t="n"/>
      <c r="N366" s="76" t="n"/>
    </row>
    <row r="367" hidden="1" s="79">
      <c r="C367" s="20" t="n"/>
      <c r="D367" s="20" t="n"/>
      <c r="E367" s="20" t="n"/>
      <c r="N367" s="76" t="n"/>
    </row>
    <row r="368" hidden="1" s="79">
      <c r="C368" s="20" t="n"/>
      <c r="D368" s="20" t="n"/>
      <c r="E368" s="20" t="n"/>
      <c r="N368" s="76" t="n"/>
    </row>
    <row r="369" hidden="1" s="79">
      <c r="C369" s="20" t="n"/>
      <c r="D369" s="20" t="n"/>
      <c r="E369" s="20" t="n"/>
      <c r="N369" s="76" t="n"/>
    </row>
    <row r="370" hidden="1" s="79">
      <c r="C370" s="20" t="n"/>
      <c r="D370" s="20" t="n"/>
      <c r="E370" s="20" t="n"/>
      <c r="N370" s="76" t="n"/>
    </row>
    <row r="371" hidden="1" s="79">
      <c r="C371" s="20" t="n"/>
      <c r="D371" s="20" t="n"/>
      <c r="E371" s="20" t="n"/>
    </row>
    <row r="372" hidden="1" s="79">
      <c r="C372" s="20" t="n"/>
      <c r="D372" s="20" t="n"/>
      <c r="E372" s="20" t="n"/>
    </row>
    <row r="373" hidden="1" s="79">
      <c r="C373" s="20" t="n"/>
      <c r="D373" s="20" t="n"/>
      <c r="E373" s="20" t="n"/>
    </row>
    <row r="374" hidden="1" s="79">
      <c r="C374" s="20" t="n"/>
      <c r="D374" s="20" t="n"/>
      <c r="E374" s="20" t="n"/>
    </row>
    <row r="375" hidden="1" s="79">
      <c r="C375" s="20" t="n"/>
      <c r="D375" s="20" t="n"/>
      <c r="E375" s="20" t="n"/>
    </row>
    <row r="376" hidden="1" s="79">
      <c r="C376" s="20" t="n"/>
      <c r="D376" s="20" t="n"/>
      <c r="E376" s="20" t="n"/>
    </row>
    <row r="377" hidden="1" s="79">
      <c r="C377" s="20" t="n"/>
      <c r="D377" s="20" t="n"/>
      <c r="E377" s="20" t="n"/>
    </row>
    <row r="378" hidden="1" s="79">
      <c r="C378" s="20" t="n"/>
      <c r="D378" s="20" t="n"/>
      <c r="E378" s="20" t="n"/>
    </row>
    <row r="379" hidden="1" s="79">
      <c r="C379" s="20" t="n"/>
      <c r="D379" s="20" t="n"/>
      <c r="E379" s="20" t="n"/>
    </row>
    <row r="380" hidden="1" ht="18.75" customHeight="1" s="79">
      <c r="C380" s="20" t="n"/>
      <c r="D380" s="20" t="n"/>
      <c r="E380" s="20" t="n"/>
    </row>
    <row r="381" hidden="1" ht="18.75" customHeight="1" s="79">
      <c r="C381" s="20" t="n"/>
      <c r="D381" s="20" t="n"/>
      <c r="E381" s="20" t="n"/>
    </row>
    <row r="382" hidden="1" ht="18.75" customHeight="1" s="79"/>
    <row r="383" hidden="1" s="79">
      <c r="C383" s="20" t="n"/>
      <c r="D383" s="20" t="n"/>
      <c r="E383" s="20" t="n"/>
    </row>
    <row r="384" hidden="1" ht="18" customHeight="1" s="79">
      <c r="C384" s="20" t="n"/>
      <c r="D384" s="20" t="n"/>
      <c r="E384" s="20" t="n"/>
    </row>
    <row r="385" hidden="1" ht="19.5" customHeight="1" s="79">
      <c r="C385" s="20" t="n"/>
      <c r="D385" s="20" t="n"/>
      <c r="E385" s="20" t="n"/>
    </row>
    <row r="386" hidden="1" ht="18.75" customHeight="1" s="79">
      <c r="C386" s="20" t="n"/>
      <c r="D386" s="20" t="n"/>
      <c r="E386" s="20" t="n"/>
    </row>
    <row r="387" hidden="1" s="79">
      <c r="C387" s="20" t="n"/>
      <c r="D387" s="20" t="n"/>
      <c r="E387" s="20" t="n"/>
    </row>
    <row r="388" hidden="1" ht="18" customHeight="1" s="79">
      <c r="C388" s="20" t="n"/>
      <c r="D388" s="20" t="n"/>
      <c r="E388" s="20" t="n"/>
    </row>
    <row r="389" hidden="1" ht="19.5" customHeight="1" s="79">
      <c r="C389" s="20" t="n"/>
      <c r="D389" s="20" t="n"/>
      <c r="E389" s="20" t="n"/>
    </row>
    <row r="390" hidden="1" ht="18.75" customHeight="1" s="79">
      <c r="C390" s="20" t="n"/>
      <c r="D390" s="20" t="n"/>
      <c r="E390" s="20" t="n"/>
    </row>
    <row r="391" hidden="1" ht="18.75" customHeight="1" s="79">
      <c r="C391" s="20" t="n"/>
      <c r="D391" s="20" t="n"/>
      <c r="E391" s="20" t="n"/>
    </row>
    <row r="392" hidden="1" ht="19.5" customHeight="1" s="79">
      <c r="C392" s="20" t="n"/>
      <c r="D392" s="20" t="n"/>
      <c r="E392" s="20" t="n"/>
    </row>
    <row r="393" hidden="1" ht="19.5" customHeight="1" s="79">
      <c r="C393" s="20" t="n"/>
      <c r="D393" s="20" t="n"/>
      <c r="E393" s="20" t="n"/>
    </row>
    <row r="394" hidden="1" ht="19.5" customHeight="1" s="79">
      <c r="C394" s="20" t="n"/>
      <c r="D394" s="20" t="n"/>
      <c r="E394" s="20" t="n"/>
    </row>
    <row r="395" hidden="1" ht="19.5" customHeight="1" s="79">
      <c r="C395" s="20" t="n"/>
      <c r="D395" s="20" t="n"/>
      <c r="E395" s="20" t="n"/>
    </row>
    <row r="396" hidden="1" ht="19.5" customHeight="1" s="79">
      <c r="C396" s="20" t="n"/>
      <c r="D396" s="20" t="n"/>
      <c r="E396" s="20" t="n"/>
    </row>
    <row r="397" hidden="1" ht="19.5" customHeight="1" s="79">
      <c r="C397" s="20" t="n"/>
      <c r="D397" s="20" t="n"/>
      <c r="E397" s="20" t="n"/>
    </row>
    <row r="398" hidden="1" ht="18.75" customHeight="1" s="79">
      <c r="C398" s="20" t="n"/>
      <c r="D398" s="20" t="n"/>
      <c r="E398" s="20" t="n"/>
    </row>
    <row r="399" hidden="1" ht="18.75" customHeight="1" s="79">
      <c r="C399" s="20" t="n"/>
      <c r="D399" s="20" t="n"/>
      <c r="E399" s="20" t="n"/>
    </row>
    <row r="400" hidden="1" ht="18.75" customHeight="1" s="79">
      <c r="C400" s="20" t="n"/>
      <c r="D400" s="20" t="n"/>
      <c r="E400" s="20" t="n"/>
    </row>
    <row r="401" hidden="1" ht="18.75" customHeight="1" s="79">
      <c r="C401" s="20" t="n"/>
      <c r="D401" s="20" t="n"/>
      <c r="E401" s="20" t="n"/>
    </row>
    <row r="402" hidden="1" ht="19.5" customHeight="1" s="79">
      <c r="C402" s="20" t="n"/>
      <c r="D402" s="20" t="n"/>
      <c r="E402" s="20" t="n"/>
    </row>
    <row r="403" hidden="1" ht="18" customHeight="1" s="79">
      <c r="C403" s="20" t="n"/>
      <c r="D403" s="20" t="n"/>
      <c r="E403" s="20" t="n"/>
    </row>
    <row r="404" hidden="1" ht="18.75" customHeight="1" s="79">
      <c r="C404" s="20" t="n"/>
      <c r="D404" s="20" t="n"/>
      <c r="E404" s="20" t="n"/>
    </row>
    <row r="405" hidden="1" ht="18.75" customHeight="1" s="79">
      <c r="C405" s="20" t="n"/>
      <c r="D405" s="20" t="n"/>
      <c r="E405" s="20" t="n"/>
    </row>
    <row r="406" hidden="1" ht="18" customHeight="1" s="79">
      <c r="C406" s="20" t="n"/>
      <c r="D406" s="20" t="n"/>
      <c r="E406" s="20" t="n"/>
    </row>
    <row r="407" hidden="1" ht="18.75" customHeight="1" s="79">
      <c r="C407" s="20" t="n"/>
      <c r="D407" s="20" t="n"/>
      <c r="E407" s="20" t="n"/>
    </row>
    <row r="408" hidden="1" ht="19.5" customHeight="1" s="79">
      <c r="C408" s="20" t="n"/>
      <c r="D408" s="20" t="n"/>
      <c r="E408" s="20" t="n"/>
    </row>
    <row r="409" hidden="1" ht="18.75" customHeight="1" s="79">
      <c r="C409" s="20" t="n"/>
      <c r="D409" s="20" t="n"/>
      <c r="E409" s="20" t="n"/>
    </row>
    <row r="410" hidden="1" ht="18" customHeight="1" s="79">
      <c r="C410" s="20" t="n"/>
      <c r="D410" s="20" t="n"/>
      <c r="E410" s="20" t="n"/>
    </row>
    <row r="411" hidden="1" ht="18.75" customHeight="1" s="79">
      <c r="C411" s="20" t="n"/>
      <c r="D411" s="20" t="n"/>
      <c r="E411" s="20" t="n"/>
    </row>
    <row r="412" hidden="1" ht="18.75" customHeight="1" s="79">
      <c r="C412" s="20" t="n"/>
      <c r="D412" s="20" t="n"/>
      <c r="E412" s="20" t="n"/>
    </row>
    <row r="413" hidden="1" ht="19.5" customHeight="1" s="79">
      <c r="C413" s="20" t="n"/>
      <c r="D413" s="20" t="n"/>
      <c r="E413" s="20" t="n"/>
    </row>
    <row r="414" hidden="1" ht="19.5" customHeight="1" s="79">
      <c r="C414" s="20" t="n"/>
      <c r="D414" s="20" t="n"/>
      <c r="E414" s="20" t="n"/>
    </row>
    <row r="415" hidden="1" ht="18" customHeight="1" s="79">
      <c r="C415" s="20" t="n"/>
      <c r="D415" s="20" t="n"/>
      <c r="E415" s="20" t="n"/>
    </row>
    <row r="416" hidden="1" ht="20.25" customHeight="1" s="79">
      <c r="C416" s="20" t="n"/>
      <c r="D416" s="20" t="n"/>
      <c r="E416" s="20" t="n"/>
    </row>
    <row r="417" hidden="1" ht="19.5" customHeight="1" s="79">
      <c r="C417" s="20" t="n"/>
      <c r="D417" s="20" t="n"/>
      <c r="E417" s="20" t="n"/>
    </row>
    <row r="418" hidden="1" ht="18.75" customHeight="1" s="79"/>
    <row r="419" hidden="1" ht="19.5" customHeight="1" s="79">
      <c r="C419" s="20" t="n"/>
      <c r="D419" s="20" t="n"/>
      <c r="E419" s="20" t="n"/>
    </row>
    <row r="420" hidden="1" ht="18.75" customHeight="1" s="79"/>
    <row r="421" hidden="1" ht="18" customHeight="1" s="79"/>
    <row r="422" hidden="1" ht="18.75" customHeight="1" s="79"/>
    <row r="423" hidden="1" ht="19.5" customHeight="1" s="79">
      <c r="C423" s="20" t="n"/>
      <c r="D423" s="20" t="n"/>
      <c r="E423" s="20" t="n"/>
    </row>
    <row r="424" hidden="1" ht="18.75" customHeight="1" s="79"/>
    <row r="425" hidden="1" ht="18.75" customHeight="1" s="79">
      <c r="C425" s="20" t="n"/>
      <c r="D425" s="20" t="n"/>
      <c r="E425" s="20" t="n"/>
    </row>
    <row r="426" hidden="1" ht="18" customHeight="1" s="79">
      <c r="C426" s="20" t="n"/>
      <c r="D426" s="20" t="n"/>
      <c r="E426" s="20" t="n"/>
    </row>
    <row r="427" hidden="1" ht="18.75" customHeight="1" s="79"/>
    <row r="428" hidden="1" ht="18.75" customHeight="1" s="79"/>
    <row r="429" hidden="1" ht="17.25" customHeight="1" s="79">
      <c r="C429" s="20" t="n"/>
      <c r="D429" s="20" t="n"/>
      <c r="E429" s="20" t="n"/>
    </row>
    <row r="430" hidden="1" ht="16.5" customHeight="1" s="79"/>
    <row r="431" hidden="1" ht="20.25" customHeight="1" s="79"/>
    <row r="432" hidden="1" ht="18.75" customHeight="1" s="79">
      <c r="C432" s="20" t="n"/>
      <c r="D432" s="20" t="n"/>
      <c r="E432" s="20" t="n"/>
    </row>
    <row r="433" hidden="1" ht="18.75" customHeight="1" s="79">
      <c r="C433" s="20" t="n"/>
      <c r="D433" s="20" t="n"/>
      <c r="E433" s="20" t="n"/>
    </row>
    <row r="434" hidden="1" ht="19.5" customHeight="1" s="79"/>
    <row r="435">
      <c r="C435" s="20" t="n"/>
      <c r="D435" s="20" t="n"/>
      <c r="E435" s="20" t="n"/>
    </row>
    <row r="436">
      <c r="C436" s="20" t="n"/>
      <c r="D436" s="20" t="n"/>
      <c r="E436" s="20" t="n"/>
    </row>
  </sheetData>
  <autoFilter ref="A4:S434">
    <filterColumn colId="0" hiddenButton="0" showButton="1">
      <filters>
        <dateGroupItem year="2026" month="4" day="23" dateTimeGrouping="day"/>
      </filters>
    </filterColumn>
    <sortState ref="A43:S80">
      <sortCondition descending="1" ref="B4:B434"/>
    </sortState>
  </autoFilter>
  <pageMargins left="0.7" right="0.7" top="0.75" bottom="0.75" header="0.3" footer="0.3"/>
  <pageSetup orientation="landscape" paperSize="8" scale="67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7" filterMode="1">
    <outlinePr summaryBelow="1" summaryRight="1"/>
    <pageSetUpPr/>
  </sheetPr>
  <dimension ref="A1:T436"/>
  <sheetViews>
    <sheetView zoomScale="80" zoomScaleNormal="80" workbookViewId="0">
      <pane ySplit="4" topLeftCell="A81" activePane="bottomLeft" state="frozen"/>
      <selection activeCell="K21" sqref="K21"/>
      <selection pane="bottomLeft" activeCell="A3" sqref="A3"/>
    </sheetView>
  </sheetViews>
  <sheetFormatPr baseColWidth="8" defaultRowHeight="18.75"/>
  <cols>
    <col width="6.125" bestFit="1" customWidth="1" style="74" min="1" max="1"/>
    <col width="9" customWidth="1" style="12" min="2" max="2"/>
    <col width="9" customWidth="1" style="12" min="3" max="8"/>
    <col width="9.5" bestFit="1" customWidth="1" style="38" min="9" max="9"/>
    <col width="10.625" bestFit="1" customWidth="1" style="39" min="10" max="10"/>
    <col width="50.125" bestFit="1" customWidth="1" style="38" min="11" max="11"/>
    <col width="9" customWidth="1" style="75" min="12" max="12"/>
    <col width="12.125" bestFit="1" customWidth="1" style="12" min="13" max="13"/>
    <col width="12.125" customWidth="1" style="76" min="14" max="14"/>
    <col width="11" bestFit="1" customWidth="1" style="12" min="15" max="15"/>
    <col width="13" customWidth="1" style="12" min="16" max="16"/>
    <col width="13" bestFit="1" customWidth="1" style="12" min="17" max="17"/>
    <col width="9" customWidth="1" style="77" min="18" max="18"/>
    <col width="9" customWidth="1" style="1" min="19" max="19"/>
    <col width="55.375" bestFit="1" customWidth="1" style="1" min="20" max="20"/>
  </cols>
  <sheetData>
    <row r="1">
      <c r="A1" s="3" t="n">
        <v>26</v>
      </c>
      <c r="B1" s="3" t="inlineStr">
        <is>
          <t>年</t>
        </is>
      </c>
      <c r="C1" s="3" t="n">
        <v>26</v>
      </c>
      <c r="D1" s="3" t="inlineStr">
        <is>
          <t>年</t>
        </is>
      </c>
      <c r="E1" s="3" t="n"/>
      <c r="F1" s="3" t="n"/>
      <c r="G1" s="3" t="n"/>
      <c r="H1" s="21" t="n"/>
      <c r="I1" s="35" t="n"/>
      <c r="J1" s="36" t="n"/>
      <c r="K1" s="36" t="n"/>
      <c r="L1" s="0" t="n"/>
      <c r="M1" s="0" t="n"/>
      <c r="N1" s="0" t="n"/>
      <c r="O1" s="0" t="n"/>
      <c r="P1" s="0" t="n"/>
      <c r="Q1" s="0" t="n"/>
      <c r="R1" s="0" t="n"/>
      <c r="S1" s="0" t="n"/>
      <c r="T1" s="0" t="n"/>
    </row>
    <row r="2">
      <c r="A2" s="3" t="n">
        <v>4</v>
      </c>
      <c r="B2" s="3" t="inlineStr">
        <is>
          <t>月 21日</t>
        </is>
      </c>
      <c r="C2" s="19" t="n">
        <v>5</v>
      </c>
      <c r="D2" s="3" t="inlineStr">
        <is>
          <t>月 20日</t>
        </is>
      </c>
      <c r="E2" s="3" t="n"/>
      <c r="F2" s="3" t="n"/>
      <c r="G2" s="22" t="inlineStr">
        <is>
          <t>※一行すべて選択して削除！！</t>
        </is>
      </c>
      <c r="H2" s="21" t="n"/>
      <c r="I2" s="35" t="n"/>
      <c r="J2" s="36" t="n"/>
      <c r="K2" s="36" t="n"/>
      <c r="L2" s="0" t="n"/>
      <c r="M2" s="0" t="n"/>
      <c r="N2" s="0" t="n"/>
      <c r="O2" s="0" t="n"/>
      <c r="P2" s="0" t="n"/>
      <c r="Q2" s="0" t="n"/>
      <c r="R2" s="0" t="n"/>
      <c r="S2" s="0" t="n"/>
      <c r="T2" s="0" t="n"/>
    </row>
    <row r="3">
      <c r="A3" s="0" t="n"/>
      <c r="B3" s="0" t="n"/>
      <c r="C3" s="0" t="n"/>
      <c r="D3" s="0" t="n"/>
      <c r="E3" s="0" t="n"/>
      <c r="F3" s="0" t="n"/>
      <c r="G3" s="0" t="n"/>
      <c r="H3" s="0" t="n"/>
      <c r="I3" s="36" t="n"/>
      <c r="J3" s="36" t="n"/>
      <c r="K3" s="36" t="n"/>
      <c r="L3" s="0" t="n"/>
      <c r="M3" s="0" t="n"/>
      <c r="N3" s="0" t="n"/>
      <c r="O3" s="0" t="n"/>
      <c r="P3" s="0" t="n"/>
      <c r="Q3" s="0" t="n"/>
      <c r="R3" s="0" t="n"/>
      <c r="S3" s="0" t="n"/>
      <c r="T3" s="0" t="n"/>
    </row>
    <row r="4">
      <c r="A4" s="2" t="inlineStr">
        <is>
          <t>日付</t>
        </is>
      </c>
      <c r="B4" s="2" t="inlineStr">
        <is>
          <t>氏名</t>
        </is>
      </c>
      <c r="C4" s="2" t="inlineStr">
        <is>
          <t>出勤</t>
        </is>
      </c>
      <c r="D4" s="2" t="inlineStr">
        <is>
          <t>退勤</t>
        </is>
      </c>
      <c r="E4" s="2" t="inlineStr">
        <is>
          <t>残業</t>
        </is>
      </c>
      <c r="F4" s="2" t="inlineStr">
        <is>
          <t>開始</t>
        </is>
      </c>
      <c r="G4" s="2" t="inlineStr">
        <is>
          <t>終了</t>
        </is>
      </c>
      <c r="H4" s="2" t="inlineStr">
        <is>
          <t>職種</t>
        </is>
      </c>
      <c r="I4" s="37" t="inlineStr">
        <is>
          <t>区分</t>
        </is>
      </c>
      <c r="J4" s="37" t="inlineStr">
        <is>
          <t>業務名</t>
        </is>
      </c>
      <c r="K4" s="37" t="inlineStr">
        <is>
          <t>詳細</t>
        </is>
      </c>
      <c r="L4" s="2" t="inlineStr">
        <is>
          <t>時間(h)</t>
        </is>
      </c>
      <c r="M4" s="2" t="inlineStr">
        <is>
          <t>ソフト・機材</t>
        </is>
      </c>
      <c r="N4" s="2" t="inlineStr">
        <is>
          <t>料金</t>
        </is>
      </c>
      <c r="O4" s="2" t="inlineStr">
        <is>
          <t>車両</t>
        </is>
      </c>
      <c r="P4" s="2" t="inlineStr">
        <is>
          <t>発</t>
        </is>
      </c>
      <c r="Q4" s="2" t="inlineStr">
        <is>
          <t>着</t>
        </is>
      </c>
      <c r="R4" s="2" t="inlineStr">
        <is>
          <t>距離</t>
        </is>
      </c>
      <c r="S4" s="2" t="inlineStr">
        <is>
          <t>移動方法</t>
        </is>
      </c>
      <c r="T4" s="2" t="inlineStr">
        <is>
          <t>備考</t>
        </is>
      </c>
    </row>
    <row r="5" hidden="1" s="79">
      <c r="A5" s="74" t="n">
        <v>46133</v>
      </c>
      <c r="B5" s="12" t="inlineStr">
        <is>
          <t>金本</t>
        </is>
      </c>
      <c r="C5" s="20" t="n">
        <v>0.3541666666666667</v>
      </c>
      <c r="D5" s="20" t="n">
        <v>0.7291666666666666</v>
      </c>
      <c r="E5" s="20" t="n">
        <v>0</v>
      </c>
      <c r="F5" s="12" t="inlineStr">
        <is>
          <t>本社</t>
        </is>
      </c>
      <c r="G5" s="12" t="inlineStr">
        <is>
          <t>本社</t>
        </is>
      </c>
      <c r="H5" s="12" t="inlineStr">
        <is>
          <t>助手</t>
        </is>
      </c>
      <c r="I5" s="12" t="inlineStr">
        <is>
          <t>研修</t>
        </is>
      </c>
      <c r="J5" s="12" t="inlineStr">
        <is>
          <t>研修</t>
        </is>
      </c>
      <c r="K5" s="14" t="inlineStr">
        <is>
          <t>明日の社内CAD講習の準備</t>
        </is>
      </c>
      <c r="L5" s="75" t="n">
        <v>3</v>
      </c>
      <c r="M5" s="12" t="inlineStr">
        <is>
          <t>なし</t>
        </is>
      </c>
      <c r="N5" s="76" t="inlineStr">
        <is>
          <t>-</t>
        </is>
      </c>
      <c r="O5" s="12" t="inlineStr">
        <is>
          <t>なし</t>
        </is>
      </c>
      <c r="P5" s="12" t="inlineStr">
        <is>
          <t>-</t>
        </is>
      </c>
      <c r="Q5" s="12" t="inlineStr">
        <is>
          <t>-</t>
        </is>
      </c>
      <c r="R5" s="77" t="inlineStr">
        <is>
          <t>-</t>
        </is>
      </c>
      <c r="S5" s="1" t="inlineStr">
        <is>
          <t>-</t>
        </is>
      </c>
    </row>
    <row r="6" hidden="1" s="79">
      <c r="A6" s="74" t="n">
        <v>46133</v>
      </c>
      <c r="B6" s="12" t="inlineStr">
        <is>
          <t>金本</t>
        </is>
      </c>
      <c r="C6" s="20" t="inlineStr">
        <is>
          <t>-</t>
        </is>
      </c>
      <c r="D6" s="20" t="inlineStr">
        <is>
          <t>-</t>
        </is>
      </c>
      <c r="E6" s="20" t="inlineStr">
        <is>
          <t>-</t>
        </is>
      </c>
      <c r="F6" s="12" t="inlineStr">
        <is>
          <t>-</t>
        </is>
      </c>
      <c r="G6" s="12" t="inlineStr">
        <is>
          <t>-</t>
        </is>
      </c>
      <c r="H6" s="12" t="inlineStr">
        <is>
          <t>助手</t>
        </is>
      </c>
      <c r="I6" s="59" t="inlineStr">
        <is>
          <t>営業</t>
        </is>
      </c>
      <c r="J6" s="1" t="inlineStr">
        <is>
          <t>営業</t>
        </is>
      </c>
      <c r="K6" s="14" t="inlineStr">
        <is>
          <t>錢高 中島さん、鳥居水門 玉井さん、などのメール対応</t>
        </is>
      </c>
      <c r="L6" s="75" t="n">
        <v>1</v>
      </c>
      <c r="M6" s="12" t="inlineStr">
        <is>
          <t>なし</t>
        </is>
      </c>
      <c r="N6" s="76" t="inlineStr">
        <is>
          <t>-</t>
        </is>
      </c>
      <c r="O6" s="12" t="inlineStr">
        <is>
          <t>なし</t>
        </is>
      </c>
      <c r="P6" s="12" t="inlineStr">
        <is>
          <t>-</t>
        </is>
      </c>
      <c r="Q6" s="12" t="inlineStr">
        <is>
          <t>-</t>
        </is>
      </c>
      <c r="R6" s="77" t="inlineStr">
        <is>
          <t>-</t>
        </is>
      </c>
      <c r="S6" s="1" t="inlineStr">
        <is>
          <t>-</t>
        </is>
      </c>
    </row>
    <row r="7" hidden="1" s="79">
      <c r="A7" s="74" t="n">
        <v>46133</v>
      </c>
      <c r="B7" s="12" t="inlineStr">
        <is>
          <t>金本</t>
        </is>
      </c>
      <c r="C7" s="20" t="inlineStr">
        <is>
          <t>-</t>
        </is>
      </c>
      <c r="D7" s="20" t="inlineStr">
        <is>
          <t>-</t>
        </is>
      </c>
      <c r="E7" s="20" t="inlineStr">
        <is>
          <t>-</t>
        </is>
      </c>
      <c r="F7" s="12" t="inlineStr">
        <is>
          <t>-</t>
        </is>
      </c>
      <c r="G7" s="12" t="inlineStr">
        <is>
          <t>-</t>
        </is>
      </c>
      <c r="H7" s="12" t="inlineStr">
        <is>
          <t>助手</t>
        </is>
      </c>
      <c r="I7" s="59" t="inlineStr">
        <is>
          <t>EA105</t>
        </is>
      </c>
      <c r="J7" s="1" t="inlineStr">
        <is>
          <t>鳥居水門</t>
        </is>
      </c>
      <c r="K7" s="14" t="inlineStr">
        <is>
          <t>BIMCIMフォルダの作成</t>
        </is>
      </c>
      <c r="L7" s="75" t="n">
        <v>4</v>
      </c>
      <c r="M7" s="12" t="inlineStr">
        <is>
          <t>なし</t>
        </is>
      </c>
      <c r="N7" s="76" t="inlineStr">
        <is>
          <t>-</t>
        </is>
      </c>
      <c r="O7" s="12" t="inlineStr">
        <is>
          <t>なし</t>
        </is>
      </c>
      <c r="P7" s="12" t="inlineStr">
        <is>
          <t>-</t>
        </is>
      </c>
      <c r="Q7" s="12" t="inlineStr">
        <is>
          <t>-</t>
        </is>
      </c>
      <c r="R7" s="77" t="inlineStr">
        <is>
          <t>-</t>
        </is>
      </c>
      <c r="S7" s="1" t="inlineStr">
        <is>
          <t>-</t>
        </is>
      </c>
    </row>
    <row r="8" hidden="1" s="79">
      <c r="A8" s="74" t="n">
        <v>46133</v>
      </c>
      <c r="B8" s="12" t="inlineStr">
        <is>
          <t>タイ</t>
        </is>
      </c>
      <c r="C8" s="20" t="n">
        <v>0.3541666666666667</v>
      </c>
      <c r="D8" s="20" t="n">
        <v>0.7291666666666666</v>
      </c>
      <c r="E8" s="20" t="n">
        <v>0</v>
      </c>
      <c r="F8" s="12" t="inlineStr">
        <is>
          <t>本社</t>
        </is>
      </c>
      <c r="G8" s="12" t="inlineStr">
        <is>
          <t>本社</t>
        </is>
      </c>
      <c r="H8" s="12" t="inlineStr">
        <is>
          <t>助手</t>
        </is>
      </c>
      <c r="I8" s="38" t="inlineStr">
        <is>
          <t>EA156</t>
        </is>
      </c>
      <c r="J8" s="39" t="inlineStr">
        <is>
          <t>R7寺田拡幅</t>
        </is>
      </c>
      <c r="K8" s="14" t="inlineStr">
        <is>
          <t>寺田拡幅交差点の3Dモデル作成</t>
        </is>
      </c>
      <c r="L8" s="75" t="n">
        <v>8</v>
      </c>
      <c r="M8" s="12" t="inlineStr">
        <is>
          <t>AUTODESK</t>
        </is>
      </c>
      <c r="N8" s="76" t="n">
        <v>1750</v>
      </c>
      <c r="O8" s="12" t="inlineStr">
        <is>
          <t>なし</t>
        </is>
      </c>
      <c r="P8" s="12" t="inlineStr">
        <is>
          <t>-</t>
        </is>
      </c>
      <c r="Q8" s="12" t="inlineStr">
        <is>
          <t>-</t>
        </is>
      </c>
      <c r="R8" s="77" t="inlineStr">
        <is>
          <t>-</t>
        </is>
      </c>
      <c r="S8" s="1" t="inlineStr">
        <is>
          <t>-</t>
        </is>
      </c>
    </row>
    <row r="9" hidden="1" s="79">
      <c r="A9" s="74" t="n">
        <v>46133</v>
      </c>
      <c r="B9" s="12" t="inlineStr">
        <is>
          <t>バタイ</t>
        </is>
      </c>
      <c r="C9" s="20" t="n">
        <v>0.3125</v>
      </c>
      <c r="D9" s="20" t="n">
        <v>0.7083333333333334</v>
      </c>
      <c r="E9" s="20" t="n">
        <v>0.02083333333333333</v>
      </c>
      <c r="F9" s="20" t="inlineStr">
        <is>
          <t>本社</t>
        </is>
      </c>
      <c r="G9" s="20" t="inlineStr">
        <is>
          <t>本社</t>
        </is>
      </c>
      <c r="H9" s="12" t="inlineStr">
        <is>
          <t>助手</t>
        </is>
      </c>
      <c r="I9" s="59" t="inlineStr">
        <is>
          <t>研修</t>
        </is>
      </c>
      <c r="J9" s="1" t="inlineStr">
        <is>
          <t>研修</t>
        </is>
      </c>
      <c r="K9" s="14" t="inlineStr">
        <is>
          <t>REVITの資料作成</t>
        </is>
      </c>
      <c r="L9" s="75" t="n">
        <v>8</v>
      </c>
      <c r="M9" s="12" t="inlineStr">
        <is>
          <t>なし</t>
        </is>
      </c>
      <c r="N9" s="76" t="inlineStr">
        <is>
          <t>-</t>
        </is>
      </c>
      <c r="O9" s="12" t="inlineStr">
        <is>
          <t>なし</t>
        </is>
      </c>
      <c r="P9" s="12" t="inlineStr">
        <is>
          <t>-</t>
        </is>
      </c>
      <c r="Q9" s="12" t="inlineStr">
        <is>
          <t>-</t>
        </is>
      </c>
      <c r="R9" s="77" t="inlineStr">
        <is>
          <t>-</t>
        </is>
      </c>
      <c r="S9" s="1" t="inlineStr">
        <is>
          <t>-</t>
        </is>
      </c>
    </row>
    <row r="10" hidden="1" s="79">
      <c r="A10" s="74" t="n">
        <v>46133</v>
      </c>
      <c r="B10" s="12" t="inlineStr">
        <is>
          <t>ズイ</t>
        </is>
      </c>
      <c r="C10" s="20" t="n">
        <v>0.3125</v>
      </c>
      <c r="D10" s="20" t="n">
        <v>0.7083333333333334</v>
      </c>
      <c r="E10" s="20" t="n">
        <v>0.02083333333333333</v>
      </c>
      <c r="F10" s="12" t="inlineStr">
        <is>
          <t>本社</t>
        </is>
      </c>
      <c r="G10" s="12" t="inlineStr">
        <is>
          <t>本社</t>
        </is>
      </c>
      <c r="H10" s="12" t="inlineStr">
        <is>
          <t>助手</t>
        </is>
      </c>
      <c r="I10" s="59" t="inlineStr">
        <is>
          <t>EA134</t>
        </is>
      </c>
      <c r="J10" s="1" t="inlineStr">
        <is>
          <t>教材作成</t>
        </is>
      </c>
      <c r="K10" s="14" t="inlineStr">
        <is>
          <t>Twinmotionによって施工ステップのガイを作成</t>
        </is>
      </c>
      <c r="L10" s="75" t="n">
        <v>8.5</v>
      </c>
      <c r="M10" s="12" t="inlineStr">
        <is>
          <t>AUTODESK</t>
        </is>
      </c>
      <c r="N10" s="76" t="n">
        <v>1750</v>
      </c>
      <c r="O10" s="12" t="inlineStr">
        <is>
          <t>なし</t>
        </is>
      </c>
      <c r="P10" s="12" t="inlineStr">
        <is>
          <t>-</t>
        </is>
      </c>
      <c r="Q10" s="12" t="inlineStr">
        <is>
          <t>-</t>
        </is>
      </c>
      <c r="R10" s="77" t="inlineStr">
        <is>
          <t>-</t>
        </is>
      </c>
      <c r="S10" s="1" t="inlineStr">
        <is>
          <t>-</t>
        </is>
      </c>
    </row>
    <row r="11" hidden="1" s="79">
      <c r="A11" s="74" t="n">
        <v>46133</v>
      </c>
      <c r="B11" s="12" t="inlineStr">
        <is>
          <t>フック</t>
        </is>
      </c>
      <c r="C11" s="20" t="n">
        <v>0.3541666666666667</v>
      </c>
      <c r="D11" s="20" t="n">
        <v>0.7291666666666666</v>
      </c>
      <c r="E11" s="20" t="n">
        <v>0</v>
      </c>
      <c r="F11" s="12" t="inlineStr">
        <is>
          <t>本社</t>
        </is>
      </c>
      <c r="G11" s="12" t="inlineStr">
        <is>
          <t>本社</t>
        </is>
      </c>
      <c r="H11" s="12" t="inlineStr">
        <is>
          <t>助手</t>
        </is>
      </c>
      <c r="I11" s="12" t="inlineStr">
        <is>
          <t>研修</t>
        </is>
      </c>
      <c r="J11" s="12" t="inlineStr">
        <is>
          <t>研修</t>
        </is>
      </c>
      <c r="K11" s="14" t="inlineStr">
        <is>
          <t>明日の社内CAD講習の準備</t>
        </is>
      </c>
      <c r="L11" s="75" t="n">
        <v>3</v>
      </c>
      <c r="M11" s="12" t="inlineStr">
        <is>
          <t>なし</t>
        </is>
      </c>
      <c r="N11" s="76" t="inlineStr">
        <is>
          <t>-</t>
        </is>
      </c>
      <c r="O11" s="12" t="inlineStr">
        <is>
          <t>なし</t>
        </is>
      </c>
      <c r="P11" s="12" t="inlineStr">
        <is>
          <t>-</t>
        </is>
      </c>
      <c r="Q11" s="12" t="inlineStr">
        <is>
          <t>-</t>
        </is>
      </c>
      <c r="R11" s="77" t="inlineStr">
        <is>
          <t>-</t>
        </is>
      </c>
      <c r="S11" s="1" t="inlineStr">
        <is>
          <t>-</t>
        </is>
      </c>
    </row>
    <row r="12" hidden="1" s="79">
      <c r="A12" s="74" t="n">
        <v>46133</v>
      </c>
      <c r="B12" s="12" t="inlineStr">
        <is>
          <t>フック</t>
        </is>
      </c>
      <c r="C12" s="20" t="inlineStr">
        <is>
          <t>-</t>
        </is>
      </c>
      <c r="D12" s="20" t="inlineStr">
        <is>
          <t>-</t>
        </is>
      </c>
      <c r="E12" s="20" t="inlineStr">
        <is>
          <t>-</t>
        </is>
      </c>
      <c r="F12" s="12" t="inlineStr">
        <is>
          <t>-</t>
        </is>
      </c>
      <c r="G12" s="12" t="inlineStr">
        <is>
          <t>-</t>
        </is>
      </c>
      <c r="H12" s="12" t="inlineStr">
        <is>
          <t>助手</t>
        </is>
      </c>
      <c r="I12" s="12" t="inlineStr">
        <is>
          <t>RD28</t>
        </is>
      </c>
      <c r="J12" s="12" t="inlineStr">
        <is>
          <t>小型ドローン</t>
        </is>
      </c>
      <c r="K12" s="14" t="inlineStr">
        <is>
          <t>小型ドローンモデル作成</t>
        </is>
      </c>
      <c r="L12" s="75" t="n">
        <v>5</v>
      </c>
      <c r="M12" s="12" t="inlineStr">
        <is>
          <t>AUTODESK</t>
        </is>
      </c>
      <c r="N12" s="76" t="n">
        <v>1750</v>
      </c>
      <c r="O12" s="12" t="inlineStr">
        <is>
          <t>なし</t>
        </is>
      </c>
      <c r="P12" s="12" t="inlineStr">
        <is>
          <t>-</t>
        </is>
      </c>
      <c r="Q12" s="12" t="inlineStr">
        <is>
          <t>-</t>
        </is>
      </c>
      <c r="R12" s="77" t="inlineStr">
        <is>
          <t>-</t>
        </is>
      </c>
      <c r="S12" s="1" t="inlineStr">
        <is>
          <t>-</t>
        </is>
      </c>
    </row>
    <row r="13" hidden="1" s="79">
      <c r="A13" s="74" t="n">
        <v>46133</v>
      </c>
      <c r="B13" s="12" t="inlineStr">
        <is>
          <t>南</t>
        </is>
      </c>
      <c r="C13" s="20" t="n">
        <v>0.3541666666666667</v>
      </c>
      <c r="D13" s="20" t="n">
        <v>0.7291666666666666</v>
      </c>
      <c r="E13" s="20" t="n">
        <v>0</v>
      </c>
      <c r="F13" s="12" t="inlineStr">
        <is>
          <t>本社</t>
        </is>
      </c>
      <c r="G13" s="12" t="inlineStr">
        <is>
          <t>本社</t>
        </is>
      </c>
      <c r="H13" s="12" t="inlineStr">
        <is>
          <t>助手</t>
        </is>
      </c>
      <c r="I13" s="59" t="inlineStr">
        <is>
          <t>EA156</t>
        </is>
      </c>
      <c r="J13" s="1" t="inlineStr">
        <is>
          <t>R7寺田拡幅</t>
        </is>
      </c>
      <c r="K13" s="38" t="inlineStr">
        <is>
          <t>現地　ガウシアン計測1回目</t>
        </is>
      </c>
      <c r="L13" s="75" t="n">
        <v>8</v>
      </c>
      <c r="M13" s="12" t="inlineStr">
        <is>
          <t>なし</t>
        </is>
      </c>
      <c r="N13" s="76" t="inlineStr">
        <is>
          <t>-</t>
        </is>
      </c>
      <c r="O13" s="12" t="inlineStr">
        <is>
          <t>ハイエース</t>
        </is>
      </c>
      <c r="P13" s="12" t="inlineStr">
        <is>
          <t>本社</t>
        </is>
      </c>
      <c r="Q13" s="12" t="inlineStr">
        <is>
          <t>寺田</t>
        </is>
      </c>
      <c r="R13" s="77" t="n">
        <v>21</v>
      </c>
      <c r="S13" s="1" t="inlineStr">
        <is>
          <t>下道</t>
        </is>
      </c>
    </row>
    <row r="14" hidden="1" s="79">
      <c r="A14" s="74" t="n">
        <v>46133</v>
      </c>
      <c r="B14" s="12" t="inlineStr">
        <is>
          <t>仲</t>
        </is>
      </c>
      <c r="C14" s="20" t="n">
        <v>0.3541666666666667</v>
      </c>
      <c r="D14" s="20" t="n">
        <v>0.7291666666666666</v>
      </c>
      <c r="E14" s="20" t="n">
        <v>0</v>
      </c>
      <c r="F14" s="12" t="inlineStr">
        <is>
          <t>本社</t>
        </is>
      </c>
      <c r="G14" s="12" t="inlineStr">
        <is>
          <t>本社</t>
        </is>
      </c>
      <c r="H14" s="12" t="inlineStr">
        <is>
          <t>助手</t>
        </is>
      </c>
      <c r="I14" s="59" t="inlineStr">
        <is>
          <t>EA156</t>
        </is>
      </c>
      <c r="J14" s="1" t="inlineStr">
        <is>
          <t>R7寺田拡幅</t>
        </is>
      </c>
      <c r="K14" s="38" t="inlineStr">
        <is>
          <t>現地　ガウシアン計測1回目</t>
        </is>
      </c>
      <c r="L14" s="75" t="n">
        <v>8</v>
      </c>
      <c r="M14" s="12" t="inlineStr">
        <is>
          <t>なし</t>
        </is>
      </c>
      <c r="N14" s="76" t="inlineStr">
        <is>
          <t>-</t>
        </is>
      </c>
      <c r="O14" s="12" t="inlineStr">
        <is>
          <t>なし</t>
        </is>
      </c>
      <c r="P14" s="12" t="inlineStr">
        <is>
          <t>-</t>
        </is>
      </c>
      <c r="Q14" s="12" t="inlineStr">
        <is>
          <t>-</t>
        </is>
      </c>
      <c r="R14" s="77" t="inlineStr">
        <is>
          <t>-</t>
        </is>
      </c>
      <c r="S14" s="1" t="inlineStr">
        <is>
          <t>-</t>
        </is>
      </c>
    </row>
    <row r="15" hidden="1" s="79">
      <c r="A15" s="74" t="n">
        <v>46133</v>
      </c>
      <c r="B15" s="12" t="inlineStr">
        <is>
          <t>村上</t>
        </is>
      </c>
      <c r="C15" s="20" t="n">
        <v>0.3541666666666667</v>
      </c>
      <c r="D15" s="20" t="n">
        <v>0.7291666666666666</v>
      </c>
      <c r="E15" s="20" t="n">
        <v>0</v>
      </c>
      <c r="F15" s="12" t="inlineStr">
        <is>
          <t>本社</t>
        </is>
      </c>
      <c r="G15" s="12" t="inlineStr">
        <is>
          <t>本社</t>
        </is>
      </c>
      <c r="H15" s="12" t="inlineStr">
        <is>
          <t>助手</t>
        </is>
      </c>
      <c r="I15" s="38" t="inlineStr">
        <is>
          <t>事務</t>
        </is>
      </c>
      <c r="J15" s="39" t="inlineStr">
        <is>
          <t>事務</t>
        </is>
      </c>
      <c r="K15" s="14" t="inlineStr">
        <is>
          <t>扶養非該当手続き、資格者書郵送、出面表作成、有効期限表更新、メール対応他</t>
        </is>
      </c>
      <c r="L15" s="75" t="n">
        <v>8</v>
      </c>
      <c r="M15" s="12" t="inlineStr">
        <is>
          <t>なし</t>
        </is>
      </c>
      <c r="N15" s="76" t="inlineStr">
        <is>
          <t>-</t>
        </is>
      </c>
      <c r="O15" s="12" t="inlineStr">
        <is>
          <t>なし</t>
        </is>
      </c>
      <c r="P15" s="12" t="inlineStr">
        <is>
          <t>-</t>
        </is>
      </c>
      <c r="Q15" s="12" t="inlineStr">
        <is>
          <t>-</t>
        </is>
      </c>
      <c r="R15" s="77" t="inlineStr">
        <is>
          <t>-</t>
        </is>
      </c>
      <c r="S15" s="1" t="inlineStr">
        <is>
          <t>-</t>
        </is>
      </c>
    </row>
    <row r="16" hidden="1" s="79">
      <c r="A16" s="74" t="n">
        <v>46133</v>
      </c>
      <c r="B16" s="12" t="inlineStr">
        <is>
          <t>千原</t>
        </is>
      </c>
      <c r="C16" s="20" t="n">
        <v>0.3541666666666667</v>
      </c>
      <c r="D16" s="20" t="n">
        <v>0.7291666666666666</v>
      </c>
      <c r="E16" s="20" t="n">
        <v>0</v>
      </c>
      <c r="F16" s="12" t="inlineStr">
        <is>
          <t>リモート</t>
        </is>
      </c>
      <c r="G16" s="12" t="inlineStr">
        <is>
          <t>リモート</t>
        </is>
      </c>
      <c r="H16" s="12" t="inlineStr">
        <is>
          <t>助手</t>
        </is>
      </c>
      <c r="I16" s="59" t="inlineStr">
        <is>
          <t>研修</t>
        </is>
      </c>
      <c r="J16" s="1" t="inlineStr">
        <is>
          <t>研修</t>
        </is>
      </c>
      <c r="K16" s="14" t="inlineStr">
        <is>
          <t>Revit操作資料テンプレート作成</t>
        </is>
      </c>
      <c r="L16" s="75" t="n">
        <v>6</v>
      </c>
      <c r="M16" s="12" t="inlineStr">
        <is>
          <t>なし</t>
        </is>
      </c>
      <c r="N16" s="76" t="inlineStr">
        <is>
          <t>-</t>
        </is>
      </c>
      <c r="O16" s="12" t="inlineStr">
        <is>
          <t>なし</t>
        </is>
      </c>
      <c r="P16" s="12" t="inlineStr">
        <is>
          <t>-</t>
        </is>
      </c>
      <c r="Q16" s="12" t="inlineStr">
        <is>
          <t>-</t>
        </is>
      </c>
      <c r="R16" s="77" t="inlineStr">
        <is>
          <t>-</t>
        </is>
      </c>
      <c r="S16" s="1" t="inlineStr">
        <is>
          <t>-</t>
        </is>
      </c>
    </row>
    <row r="17" hidden="1" s="79">
      <c r="A17" s="74" t="n">
        <v>46133</v>
      </c>
      <c r="B17" s="12" t="inlineStr">
        <is>
          <t>千原</t>
        </is>
      </c>
      <c r="C17" s="20" t="inlineStr">
        <is>
          <t>-</t>
        </is>
      </c>
      <c r="D17" s="20" t="inlineStr">
        <is>
          <t>-</t>
        </is>
      </c>
      <c r="E17" s="20" t="inlineStr">
        <is>
          <t>-</t>
        </is>
      </c>
      <c r="F17" s="12" t="inlineStr">
        <is>
          <t>-</t>
        </is>
      </c>
      <c r="G17" s="12" t="inlineStr">
        <is>
          <t>-</t>
        </is>
      </c>
      <c r="H17" s="12" t="inlineStr">
        <is>
          <t>助手</t>
        </is>
      </c>
      <c r="I17" s="59" t="inlineStr">
        <is>
          <t>EA45</t>
        </is>
      </c>
      <c r="J17" s="1" t="inlineStr">
        <is>
          <t>北陸</t>
        </is>
      </c>
      <c r="K17" s="14" t="inlineStr">
        <is>
          <t>日本ピーエス掲載資料作成（完了）</t>
        </is>
      </c>
      <c r="L17" s="75" t="n">
        <v>2</v>
      </c>
      <c r="M17" s="12" t="inlineStr">
        <is>
          <t>なし</t>
        </is>
      </c>
      <c r="N17" s="76" t="inlineStr">
        <is>
          <t>-</t>
        </is>
      </c>
      <c r="O17" s="12" t="inlineStr">
        <is>
          <t>なし</t>
        </is>
      </c>
      <c r="P17" s="12" t="inlineStr">
        <is>
          <t>-</t>
        </is>
      </c>
      <c r="Q17" s="12" t="inlineStr">
        <is>
          <t>-</t>
        </is>
      </c>
      <c r="R17" s="77" t="inlineStr">
        <is>
          <t>-</t>
        </is>
      </c>
      <c r="S17" s="1" t="inlineStr">
        <is>
          <t>-</t>
        </is>
      </c>
    </row>
    <row r="18" hidden="1" s="79">
      <c r="A18" s="74" t="n">
        <v>46133</v>
      </c>
      <c r="B18" s="12" t="inlineStr">
        <is>
          <t>人見</t>
        </is>
      </c>
      <c r="C18" s="20" t="n">
        <v>0.3541666666666667</v>
      </c>
      <c r="D18" s="20" t="n">
        <v>0.7291666666666666</v>
      </c>
      <c r="E18" s="20" t="n">
        <v>0</v>
      </c>
      <c r="F18" s="12" t="inlineStr">
        <is>
          <t>本社</t>
        </is>
      </c>
      <c r="G18" s="12" t="inlineStr">
        <is>
          <t>本社</t>
        </is>
      </c>
      <c r="H18" s="12" t="inlineStr">
        <is>
          <t>助手</t>
        </is>
      </c>
      <c r="I18" s="12" t="inlineStr">
        <is>
          <t>PR04</t>
        </is>
      </c>
      <c r="J18" s="12" t="inlineStr">
        <is>
          <t>展示会</t>
        </is>
      </c>
      <c r="K18" s="14" t="inlineStr">
        <is>
          <t>第一回空間情報デジタルツインカンファレンス参加</t>
        </is>
      </c>
      <c r="L18" s="75" t="n">
        <v>5</v>
      </c>
      <c r="M18" s="12" t="inlineStr">
        <is>
          <t>なし</t>
        </is>
      </c>
      <c r="N18" s="76" t="inlineStr">
        <is>
          <t>-</t>
        </is>
      </c>
      <c r="O18" s="12" t="inlineStr">
        <is>
          <t>ステップワゴン</t>
        </is>
      </c>
      <c r="P18" s="12" t="inlineStr">
        <is>
          <t>寮</t>
        </is>
      </c>
      <c r="Q18" s="12" t="inlineStr">
        <is>
          <t>会場</t>
        </is>
      </c>
      <c r="R18" s="77" t="n">
        <v>47.2</v>
      </c>
      <c r="S18" s="1" t="inlineStr">
        <is>
          <t>高速</t>
        </is>
      </c>
      <c r="T18" s="1" t="inlineStr">
        <is>
          <t>会場：NLC新大阪８号館、〒532-0011 大阪府大阪市淀川区西中島３丁目９−１３</t>
        </is>
      </c>
    </row>
    <row r="19" hidden="1" s="79">
      <c r="A19" s="74" t="n">
        <v>46133</v>
      </c>
      <c r="B19" s="12" t="inlineStr">
        <is>
          <t>人見</t>
        </is>
      </c>
      <c r="C19" s="20" t="inlineStr">
        <is>
          <t>-</t>
        </is>
      </c>
      <c r="D19" s="20" t="inlineStr">
        <is>
          <t>-</t>
        </is>
      </c>
      <c r="E19" s="20" t="inlineStr">
        <is>
          <t>-</t>
        </is>
      </c>
      <c r="F19" s="12" t="inlineStr">
        <is>
          <t>-</t>
        </is>
      </c>
      <c r="G19" s="12" t="inlineStr">
        <is>
          <t>-</t>
        </is>
      </c>
      <c r="H19" s="12" t="inlineStr">
        <is>
          <t>助手</t>
        </is>
      </c>
      <c r="I19" s="38" t="inlineStr">
        <is>
          <t>開発</t>
        </is>
      </c>
      <c r="J19" s="39" t="inlineStr">
        <is>
          <t>開発関係</t>
        </is>
      </c>
      <c r="K19" s="14" t="inlineStr">
        <is>
          <t>VPNの学習</t>
        </is>
      </c>
      <c r="L19" s="75" t="n">
        <v>3</v>
      </c>
      <c r="M19" s="12" t="inlineStr">
        <is>
          <t>なし</t>
        </is>
      </c>
      <c r="N19" s="76" t="inlineStr">
        <is>
          <t>-</t>
        </is>
      </c>
      <c r="O19" s="12" t="inlineStr">
        <is>
          <t>なし</t>
        </is>
      </c>
      <c r="P19" s="12" t="inlineStr">
        <is>
          <t>-</t>
        </is>
      </c>
      <c r="Q19" s="12" t="inlineStr">
        <is>
          <t>-</t>
        </is>
      </c>
      <c r="R19" s="77" t="inlineStr">
        <is>
          <t>-</t>
        </is>
      </c>
      <c r="S19" s="1" t="inlineStr">
        <is>
          <t>-</t>
        </is>
      </c>
    </row>
    <row r="20" hidden="1" s="79">
      <c r="A20" s="74" t="n">
        <v>46134</v>
      </c>
      <c r="B20" s="12" t="inlineStr">
        <is>
          <t>村上</t>
        </is>
      </c>
      <c r="C20" s="20" t="n">
        <v>0.3541666666666667</v>
      </c>
      <c r="D20" s="20" t="n">
        <v>0.7291666666666666</v>
      </c>
      <c r="E20" s="20" t="n">
        <v>0</v>
      </c>
      <c r="F20" s="12" t="inlineStr">
        <is>
          <t>本社</t>
        </is>
      </c>
      <c r="G20" s="12" t="inlineStr">
        <is>
          <t>本社</t>
        </is>
      </c>
      <c r="H20" s="12" t="inlineStr">
        <is>
          <t>助手</t>
        </is>
      </c>
      <c r="I20" s="1" t="inlineStr">
        <is>
          <t>事務</t>
        </is>
      </c>
      <c r="J20" s="1" t="inlineStr">
        <is>
          <t>事務</t>
        </is>
      </c>
      <c r="K20" s="14" t="inlineStr">
        <is>
          <t>20日締め出面作成、CPDS提出写真撮影、扶養非該当手続き、メール対応他</t>
        </is>
      </c>
      <c r="L20" s="75" t="n">
        <v>7</v>
      </c>
      <c r="M20" s="12" t="inlineStr">
        <is>
          <t>なし</t>
        </is>
      </c>
      <c r="N20" s="76" t="inlineStr">
        <is>
          <t>-</t>
        </is>
      </c>
      <c r="O20" s="12" t="inlineStr">
        <is>
          <t>なし</t>
        </is>
      </c>
      <c r="P20" s="12" t="inlineStr">
        <is>
          <t>-</t>
        </is>
      </c>
      <c r="Q20" s="12" t="inlineStr">
        <is>
          <t>-</t>
        </is>
      </c>
      <c r="R20" s="77" t="inlineStr">
        <is>
          <t>-</t>
        </is>
      </c>
      <c r="S20" s="1" t="inlineStr">
        <is>
          <t>-</t>
        </is>
      </c>
    </row>
    <row r="21" hidden="1" s="79">
      <c r="A21" s="74" t="n">
        <v>46134</v>
      </c>
      <c r="B21" s="12" t="inlineStr">
        <is>
          <t>村上</t>
        </is>
      </c>
      <c r="C21" s="20" t="inlineStr">
        <is>
          <t>-</t>
        </is>
      </c>
      <c r="D21" s="20" t="inlineStr">
        <is>
          <t>-</t>
        </is>
      </c>
      <c r="E21" s="20" t="inlineStr">
        <is>
          <t>-</t>
        </is>
      </c>
      <c r="F21" s="12" t="inlineStr">
        <is>
          <t>-</t>
        </is>
      </c>
      <c r="G21" s="12" t="inlineStr">
        <is>
          <t>-</t>
        </is>
      </c>
      <c r="H21" s="12" t="inlineStr">
        <is>
          <t>助手</t>
        </is>
      </c>
      <c r="I21" s="59" t="inlineStr">
        <is>
          <t>営業</t>
        </is>
      </c>
      <c r="J21" s="1" t="inlineStr">
        <is>
          <t>営業</t>
        </is>
      </c>
      <c r="K21" s="14" t="inlineStr">
        <is>
          <t>京都産業21来社</t>
        </is>
      </c>
      <c r="L21" s="75" t="n">
        <v>1</v>
      </c>
      <c r="M21" s="12" t="inlineStr">
        <is>
          <t>なし</t>
        </is>
      </c>
      <c r="N21" s="76" t="inlineStr">
        <is>
          <t>-</t>
        </is>
      </c>
      <c r="O21" s="12" t="inlineStr">
        <is>
          <t>なし</t>
        </is>
      </c>
      <c r="P21" s="12" t="inlineStr">
        <is>
          <t>-</t>
        </is>
      </c>
      <c r="Q21" s="12" t="inlineStr">
        <is>
          <t>-</t>
        </is>
      </c>
      <c r="R21" s="77" t="inlineStr">
        <is>
          <t>-</t>
        </is>
      </c>
      <c r="S21" s="1" t="inlineStr">
        <is>
          <t>-</t>
        </is>
      </c>
    </row>
    <row r="22" hidden="1" s="79">
      <c r="A22" s="74" t="n">
        <v>46134</v>
      </c>
      <c r="B22" s="12" t="inlineStr">
        <is>
          <t>天野</t>
        </is>
      </c>
      <c r="C22" s="20" t="n">
        <v>0.3541666666666667</v>
      </c>
      <c r="D22" s="20" t="n">
        <v>0.7291666666666666</v>
      </c>
      <c r="E22" s="20" t="n">
        <v>0</v>
      </c>
      <c r="F22" s="12" t="inlineStr">
        <is>
          <t>本社</t>
        </is>
      </c>
      <c r="G22" s="12" t="inlineStr">
        <is>
          <t>本社</t>
        </is>
      </c>
      <c r="H22" s="12" t="inlineStr">
        <is>
          <t>助手</t>
        </is>
      </c>
      <c r="I22" s="59" t="inlineStr">
        <is>
          <t>EA134</t>
        </is>
      </c>
      <c r="J22" s="1" t="inlineStr">
        <is>
          <t>教材作成</t>
        </is>
      </c>
      <c r="K22" s="14" t="inlineStr">
        <is>
          <t>Revit資料の添削</t>
        </is>
      </c>
      <c r="L22" s="75" t="n">
        <v>8</v>
      </c>
      <c r="M22" s="12" t="inlineStr">
        <is>
          <t>AUTODESK</t>
        </is>
      </c>
      <c r="N22" s="76" t="n">
        <v>1750</v>
      </c>
      <c r="O22" s="12" t="inlineStr">
        <is>
          <t>なし</t>
        </is>
      </c>
      <c r="P22" s="12" t="inlineStr">
        <is>
          <t>-</t>
        </is>
      </c>
      <c r="Q22" s="12" t="inlineStr">
        <is>
          <t>-</t>
        </is>
      </c>
      <c r="R22" s="77" t="inlineStr">
        <is>
          <t>-</t>
        </is>
      </c>
      <c r="S22" s="1" t="inlineStr">
        <is>
          <t>-</t>
        </is>
      </c>
    </row>
    <row r="23" hidden="1" s="79">
      <c r="A23" s="74" t="n">
        <v>46133</v>
      </c>
      <c r="B23" s="12" t="inlineStr">
        <is>
          <t>内藤</t>
        </is>
      </c>
      <c r="C23" s="20" t="n">
        <v>0.3541666666666667</v>
      </c>
      <c r="D23" s="20" t="n">
        <v>0.7291666666666666</v>
      </c>
      <c r="E23" s="20" t="n">
        <v>0</v>
      </c>
      <c r="F23" s="12" t="inlineStr">
        <is>
          <t>本社</t>
        </is>
      </c>
      <c r="G23" s="12" t="inlineStr">
        <is>
          <t>本社</t>
        </is>
      </c>
      <c r="H23" s="12" t="inlineStr">
        <is>
          <t>助手</t>
        </is>
      </c>
      <c r="I23" s="60" t="inlineStr">
        <is>
          <t>EA156</t>
        </is>
      </c>
      <c r="J23" s="61" t="inlineStr">
        <is>
          <t>R7寺田拡幅</t>
        </is>
      </c>
      <c r="K23" s="38" t="inlineStr">
        <is>
          <t>現地　ガウシアン計測1回目</t>
        </is>
      </c>
      <c r="L23" s="75" t="n">
        <v>8</v>
      </c>
      <c r="M23" s="12" t="inlineStr">
        <is>
          <t>なし</t>
        </is>
      </c>
      <c r="N23" s="76" t="inlineStr">
        <is>
          <t>-</t>
        </is>
      </c>
      <c r="O23" s="12" t="inlineStr">
        <is>
          <t>ハイエース</t>
        </is>
      </c>
      <c r="P23" s="12" t="inlineStr">
        <is>
          <t>本社</t>
        </is>
      </c>
      <c r="Q23" s="12" t="inlineStr">
        <is>
          <t>現場</t>
        </is>
      </c>
      <c r="R23" s="77" t="n">
        <v>20</v>
      </c>
      <c r="S23" s="1" t="inlineStr">
        <is>
          <t>下道</t>
        </is>
      </c>
    </row>
    <row r="24" hidden="1" s="79">
      <c r="A24" s="74" t="n">
        <v>46134</v>
      </c>
      <c r="B24" s="12" t="inlineStr">
        <is>
          <t>内藤</t>
        </is>
      </c>
      <c r="C24" s="20" t="n">
        <v>0.3541666666666667</v>
      </c>
      <c r="D24" s="20" t="n">
        <v>0.7291666666666666</v>
      </c>
      <c r="E24" s="20" t="n">
        <v>0</v>
      </c>
      <c r="F24" s="12" t="inlineStr">
        <is>
          <t>本社</t>
        </is>
      </c>
      <c r="G24" s="12" t="inlineStr">
        <is>
          <t>本社</t>
        </is>
      </c>
      <c r="H24" s="12" t="inlineStr">
        <is>
          <t>助手</t>
        </is>
      </c>
      <c r="I24" s="1" t="inlineStr">
        <is>
          <t>VT01</t>
        </is>
      </c>
      <c r="J24" s="1" t="inlineStr">
        <is>
          <t>駐在所</t>
        </is>
      </c>
      <c r="K24" s="14" t="inlineStr">
        <is>
          <t>ベトナムオンライン</t>
        </is>
      </c>
      <c r="L24" s="75" t="n">
        <v>0.5</v>
      </c>
      <c r="M24" s="12" t="inlineStr">
        <is>
          <t>なし</t>
        </is>
      </c>
      <c r="N24" s="76" t="inlineStr">
        <is>
          <t>-</t>
        </is>
      </c>
      <c r="O24" s="12" t="inlineStr">
        <is>
          <t>なし</t>
        </is>
      </c>
      <c r="P24" s="12" t="inlineStr">
        <is>
          <t>-</t>
        </is>
      </c>
      <c r="Q24" s="12" t="inlineStr">
        <is>
          <t>-</t>
        </is>
      </c>
      <c r="R24" s="77" t="inlineStr">
        <is>
          <t>-</t>
        </is>
      </c>
      <c r="S24" s="1" t="inlineStr">
        <is>
          <t>-</t>
        </is>
      </c>
    </row>
    <row r="25" hidden="1" s="79">
      <c r="A25" s="74" t="n">
        <v>46134</v>
      </c>
      <c r="B25" s="12" t="inlineStr">
        <is>
          <t>内藤</t>
        </is>
      </c>
      <c r="C25" s="20" t="inlineStr">
        <is>
          <t>-</t>
        </is>
      </c>
      <c r="D25" s="20" t="inlineStr">
        <is>
          <t>-</t>
        </is>
      </c>
      <c r="E25" s="20" t="inlineStr">
        <is>
          <t>-</t>
        </is>
      </c>
      <c r="F25" s="12" t="inlineStr">
        <is>
          <t>-</t>
        </is>
      </c>
      <c r="G25" s="12" t="inlineStr">
        <is>
          <t>-</t>
        </is>
      </c>
      <c r="H25" s="12" t="inlineStr">
        <is>
          <t>助手</t>
        </is>
      </c>
      <c r="I25" s="59" t="inlineStr">
        <is>
          <t>EA105</t>
        </is>
      </c>
      <c r="J25" s="1" t="inlineStr">
        <is>
          <t>鳥居水門</t>
        </is>
      </c>
      <c r="K25" s="14" t="inlineStr">
        <is>
          <t>BIM/CIMフォルダ(港湾編)の作成および付属資料の作成</t>
        </is>
      </c>
      <c r="L25" s="75" t="n">
        <v>6</v>
      </c>
      <c r="M25" s="12" t="inlineStr">
        <is>
          <t>AUTODESK</t>
        </is>
      </c>
      <c r="N25" s="76" t="n">
        <v>1750</v>
      </c>
      <c r="O25" s="12" t="inlineStr">
        <is>
          <t>なし</t>
        </is>
      </c>
      <c r="P25" s="12" t="inlineStr">
        <is>
          <t>-</t>
        </is>
      </c>
      <c r="Q25" s="12" t="inlineStr">
        <is>
          <t>-</t>
        </is>
      </c>
      <c r="R25" s="77" t="inlineStr">
        <is>
          <t>-</t>
        </is>
      </c>
      <c r="S25" s="1" t="inlineStr">
        <is>
          <t>-</t>
        </is>
      </c>
    </row>
    <row r="26" hidden="1" s="79">
      <c r="A26" s="74" t="n">
        <v>46134</v>
      </c>
      <c r="B26" s="12" t="inlineStr">
        <is>
          <t>内藤</t>
        </is>
      </c>
      <c r="C26" s="20" t="inlineStr">
        <is>
          <t>-</t>
        </is>
      </c>
      <c r="D26" s="20" t="inlineStr">
        <is>
          <t>-</t>
        </is>
      </c>
      <c r="E26" s="20" t="inlineStr">
        <is>
          <t>-</t>
        </is>
      </c>
      <c r="F26" s="12" t="inlineStr">
        <is>
          <t>-</t>
        </is>
      </c>
      <c r="G26" s="12" t="inlineStr">
        <is>
          <t>-</t>
        </is>
      </c>
      <c r="H26" s="12" t="inlineStr">
        <is>
          <t>助手</t>
        </is>
      </c>
      <c r="I26" s="59" t="inlineStr">
        <is>
          <t>EA156</t>
        </is>
      </c>
      <c r="J26" s="1" t="inlineStr">
        <is>
          <t>R7寺田拡幅</t>
        </is>
      </c>
      <c r="K26" s="14" t="inlineStr">
        <is>
          <t>ガウシアン　解析データの確認</t>
        </is>
      </c>
      <c r="L26" s="75" t="n">
        <v>0.5</v>
      </c>
      <c r="M26" s="12" t="inlineStr">
        <is>
          <t>なし</t>
        </is>
      </c>
      <c r="N26" s="76" t="inlineStr">
        <is>
          <t>-</t>
        </is>
      </c>
      <c r="O26" s="12" t="inlineStr">
        <is>
          <t>なし</t>
        </is>
      </c>
      <c r="P26" s="12" t="inlineStr">
        <is>
          <t>-</t>
        </is>
      </c>
      <c r="Q26" s="12" t="inlineStr">
        <is>
          <t>-</t>
        </is>
      </c>
      <c r="R26" s="77" t="inlineStr">
        <is>
          <t>-</t>
        </is>
      </c>
      <c r="S26" s="1" t="inlineStr">
        <is>
          <t>-</t>
        </is>
      </c>
    </row>
    <row r="27" hidden="1" s="79">
      <c r="A27" s="74" t="n">
        <v>46134</v>
      </c>
      <c r="B27" s="12" t="inlineStr">
        <is>
          <t>内藤</t>
        </is>
      </c>
      <c r="C27" s="20" t="inlineStr">
        <is>
          <t>-</t>
        </is>
      </c>
      <c r="D27" s="20" t="inlineStr">
        <is>
          <t>-</t>
        </is>
      </c>
      <c r="E27" s="20" t="inlineStr">
        <is>
          <t>-</t>
        </is>
      </c>
      <c r="F27" s="12" t="inlineStr">
        <is>
          <t>-</t>
        </is>
      </c>
      <c r="G27" s="12" t="inlineStr">
        <is>
          <t>-</t>
        </is>
      </c>
      <c r="H27" s="12" t="inlineStr">
        <is>
          <t>助手</t>
        </is>
      </c>
      <c r="I27" s="59" t="inlineStr">
        <is>
          <t>EA157</t>
        </is>
      </c>
      <c r="J27" s="1" t="inlineStr">
        <is>
          <t>蛙ヶ谷基準点</t>
        </is>
      </c>
      <c r="K27" s="14" t="inlineStr">
        <is>
          <t>現地計測の日程調整</t>
        </is>
      </c>
      <c r="L27" s="75" t="n">
        <v>0.5</v>
      </c>
      <c r="M27" s="12" t="inlineStr">
        <is>
          <t>なし</t>
        </is>
      </c>
      <c r="N27" s="76" t="inlineStr">
        <is>
          <t>-</t>
        </is>
      </c>
      <c r="O27" s="12" t="inlineStr">
        <is>
          <t>なし</t>
        </is>
      </c>
      <c r="P27" s="12" t="inlineStr">
        <is>
          <t>-</t>
        </is>
      </c>
      <c r="Q27" s="12" t="inlineStr">
        <is>
          <t>-</t>
        </is>
      </c>
      <c r="R27" s="77" t="inlineStr">
        <is>
          <t>-</t>
        </is>
      </c>
      <c r="S27" s="1" t="inlineStr">
        <is>
          <t>-</t>
        </is>
      </c>
    </row>
    <row r="28" hidden="1" s="79">
      <c r="A28" s="74" t="n">
        <v>46134</v>
      </c>
      <c r="B28" s="12" t="inlineStr">
        <is>
          <t>内藤</t>
        </is>
      </c>
      <c r="C28" s="20" t="inlineStr">
        <is>
          <t>-</t>
        </is>
      </c>
      <c r="D28" s="20" t="inlineStr">
        <is>
          <t>-</t>
        </is>
      </c>
      <c r="E28" s="20" t="inlineStr">
        <is>
          <t>-</t>
        </is>
      </c>
      <c r="F28" s="12" t="inlineStr">
        <is>
          <t>-</t>
        </is>
      </c>
      <c r="G28" s="12" t="inlineStr">
        <is>
          <t>-</t>
        </is>
      </c>
      <c r="H28" s="12" t="inlineStr">
        <is>
          <t>助手</t>
        </is>
      </c>
      <c r="I28" s="59" t="inlineStr">
        <is>
          <t>EA158</t>
        </is>
      </c>
      <c r="J28" s="1" t="inlineStr">
        <is>
          <t>大熊町橋梁点検</t>
        </is>
      </c>
      <c r="K28" s="14" t="inlineStr">
        <is>
          <t>SARUTAHIKO 資料の修正</t>
        </is>
      </c>
      <c r="L28" s="75" t="n">
        <v>0.5</v>
      </c>
      <c r="M28" s="12" t="inlineStr">
        <is>
          <t>なし</t>
        </is>
      </c>
      <c r="N28" s="76" t="inlineStr">
        <is>
          <t>-</t>
        </is>
      </c>
      <c r="O28" s="12" t="inlineStr">
        <is>
          <t>なし</t>
        </is>
      </c>
      <c r="P28" s="12" t="inlineStr">
        <is>
          <t>-</t>
        </is>
      </c>
      <c r="Q28" s="12" t="inlineStr">
        <is>
          <t>-</t>
        </is>
      </c>
      <c r="R28" s="77" t="inlineStr">
        <is>
          <t>-</t>
        </is>
      </c>
      <c r="S28" s="1" t="inlineStr">
        <is>
          <t>-</t>
        </is>
      </c>
    </row>
    <row r="29" hidden="1" s="79">
      <c r="A29" s="74" t="n">
        <v>46134</v>
      </c>
      <c r="B29" s="12" t="inlineStr">
        <is>
          <t>金本</t>
        </is>
      </c>
      <c r="C29" s="20" t="n">
        <v>0.3541666666666667</v>
      </c>
      <c r="D29" s="20" t="n">
        <v>0.7291666666666666</v>
      </c>
      <c r="E29" s="20" t="n">
        <v>0</v>
      </c>
      <c r="F29" s="12" t="inlineStr">
        <is>
          <t>本社</t>
        </is>
      </c>
      <c r="G29" s="12" t="inlineStr">
        <is>
          <t>本社</t>
        </is>
      </c>
      <c r="H29" s="12" t="inlineStr">
        <is>
          <t>助手</t>
        </is>
      </c>
      <c r="I29" s="12" t="inlineStr">
        <is>
          <t>研修</t>
        </is>
      </c>
      <c r="J29" s="12" t="inlineStr">
        <is>
          <t>研修</t>
        </is>
      </c>
      <c r="K29" s="38" t="inlineStr">
        <is>
          <t>社内３DCAD講習 (CPDS認定講習)</t>
        </is>
      </c>
      <c r="L29" s="75" t="n">
        <v>8</v>
      </c>
      <c r="M29" s="12" t="inlineStr">
        <is>
          <t>AUTODESK</t>
        </is>
      </c>
      <c r="N29" s="76" t="n">
        <v>1750</v>
      </c>
      <c r="O29" s="12" t="inlineStr">
        <is>
          <t>なし</t>
        </is>
      </c>
      <c r="P29" s="12" t="inlineStr">
        <is>
          <t>-</t>
        </is>
      </c>
      <c r="Q29" s="12" t="inlineStr">
        <is>
          <t>-</t>
        </is>
      </c>
      <c r="R29" s="77" t="inlineStr">
        <is>
          <t>-</t>
        </is>
      </c>
      <c r="S29" s="1" t="inlineStr">
        <is>
          <t>-</t>
        </is>
      </c>
    </row>
    <row r="30" hidden="1" s="79">
      <c r="A30" s="74" t="n">
        <v>46134</v>
      </c>
      <c r="B30" s="12" t="inlineStr">
        <is>
          <t>フック</t>
        </is>
      </c>
      <c r="C30" s="20" t="n">
        <v>0.3541666666666667</v>
      </c>
      <c r="D30" s="20" t="n">
        <v>0.7291666666666666</v>
      </c>
      <c r="E30" s="20" t="n">
        <v>0</v>
      </c>
      <c r="F30" s="12" t="inlineStr">
        <is>
          <t>本社</t>
        </is>
      </c>
      <c r="G30" s="12" t="inlineStr">
        <is>
          <t>本社</t>
        </is>
      </c>
      <c r="H30" s="12" t="inlineStr">
        <is>
          <t>助手</t>
        </is>
      </c>
      <c r="I30" s="12" t="inlineStr">
        <is>
          <t>研修</t>
        </is>
      </c>
      <c r="J30" s="12" t="inlineStr">
        <is>
          <t>研修</t>
        </is>
      </c>
      <c r="K30" s="38" t="inlineStr">
        <is>
          <t>社内３DCAD講習 (CPDS認定講習)</t>
        </is>
      </c>
      <c r="L30" s="75" t="n">
        <v>8</v>
      </c>
      <c r="M30" s="12" t="inlineStr">
        <is>
          <t>AUTODESK</t>
        </is>
      </c>
      <c r="N30" s="76" t="n">
        <v>1750</v>
      </c>
      <c r="O30" s="12" t="inlineStr">
        <is>
          <t>なし</t>
        </is>
      </c>
      <c r="P30" s="12" t="inlineStr">
        <is>
          <t>-</t>
        </is>
      </c>
      <c r="Q30" s="12" t="inlineStr">
        <is>
          <t>-</t>
        </is>
      </c>
      <c r="R30" s="77" t="inlineStr">
        <is>
          <t>-</t>
        </is>
      </c>
      <c r="S30" s="1" t="inlineStr">
        <is>
          <t>-</t>
        </is>
      </c>
    </row>
    <row r="31" hidden="1" s="79">
      <c r="A31" s="74" t="n">
        <v>46134</v>
      </c>
      <c r="B31" s="12" t="inlineStr">
        <is>
          <t>南</t>
        </is>
      </c>
      <c r="C31" s="20" t="n">
        <v>0.3541666666666667</v>
      </c>
      <c r="D31" s="20" t="n">
        <v>0.7291666666666666</v>
      </c>
      <c r="E31" s="20" t="n">
        <v>0</v>
      </c>
      <c r="F31" s="12" t="inlineStr">
        <is>
          <t>本社</t>
        </is>
      </c>
      <c r="G31" s="12" t="inlineStr">
        <is>
          <t>本社</t>
        </is>
      </c>
      <c r="H31" s="12" t="inlineStr">
        <is>
          <t>助手</t>
        </is>
      </c>
      <c r="I31" s="12" t="inlineStr">
        <is>
          <t>研修</t>
        </is>
      </c>
      <c r="J31" s="12" t="inlineStr">
        <is>
          <t>研修</t>
        </is>
      </c>
      <c r="K31" s="38" t="inlineStr">
        <is>
          <t>社内３DCAD講習 (CPDS認定講習)</t>
        </is>
      </c>
      <c r="L31" s="75" t="n">
        <v>8</v>
      </c>
      <c r="M31" s="12" t="inlineStr">
        <is>
          <t>AUTODESK</t>
        </is>
      </c>
      <c r="N31" s="76" t="n">
        <v>1750</v>
      </c>
      <c r="O31" s="12" t="inlineStr">
        <is>
          <t>なし</t>
        </is>
      </c>
      <c r="P31" s="12" t="inlineStr">
        <is>
          <t>-</t>
        </is>
      </c>
      <c r="Q31" s="12" t="inlineStr">
        <is>
          <t>-</t>
        </is>
      </c>
      <c r="R31" s="77" t="inlineStr">
        <is>
          <t>-</t>
        </is>
      </c>
      <c r="S31" s="1" t="inlineStr">
        <is>
          <t>-</t>
        </is>
      </c>
    </row>
    <row r="32" hidden="1" s="79">
      <c r="A32" s="74" t="n">
        <v>46134</v>
      </c>
      <c r="B32" s="12" t="inlineStr">
        <is>
          <t>バタイ</t>
        </is>
      </c>
      <c r="C32" s="20" t="n">
        <v>0.3125</v>
      </c>
      <c r="D32" s="20" t="n">
        <v>0.7083333333333334</v>
      </c>
      <c r="E32" s="20" t="n">
        <v>0.02083333333333333</v>
      </c>
      <c r="F32" s="12" t="inlineStr">
        <is>
          <t>本社</t>
        </is>
      </c>
      <c r="G32" s="12" t="inlineStr">
        <is>
          <t>本社</t>
        </is>
      </c>
      <c r="H32" s="12" t="inlineStr">
        <is>
          <t>助手</t>
        </is>
      </c>
      <c r="I32" s="59" t="inlineStr">
        <is>
          <t>研修</t>
        </is>
      </c>
      <c r="J32" s="1" t="inlineStr">
        <is>
          <t>研修</t>
        </is>
      </c>
      <c r="K32" s="14" t="inlineStr">
        <is>
          <t>REVIT配筋モデルマニュアル作成</t>
        </is>
      </c>
      <c r="L32" s="75" t="n">
        <v>8</v>
      </c>
      <c r="M32" s="12" t="inlineStr">
        <is>
          <t>なし</t>
        </is>
      </c>
      <c r="N32" s="76" t="inlineStr">
        <is>
          <t>-</t>
        </is>
      </c>
      <c r="O32" s="12" t="inlineStr">
        <is>
          <t>なし</t>
        </is>
      </c>
      <c r="P32" s="12" t="inlineStr">
        <is>
          <t>-</t>
        </is>
      </c>
      <c r="Q32" s="12" t="inlineStr">
        <is>
          <t>-</t>
        </is>
      </c>
      <c r="R32" s="77" t="inlineStr">
        <is>
          <t>-</t>
        </is>
      </c>
      <c r="S32" s="1" t="inlineStr">
        <is>
          <t>-</t>
        </is>
      </c>
    </row>
    <row r="33" hidden="1" s="79">
      <c r="A33" s="74" t="n">
        <v>46134</v>
      </c>
      <c r="B33" s="12" t="inlineStr">
        <is>
          <t>ズイ</t>
        </is>
      </c>
      <c r="C33" s="20" t="n">
        <v>0.3125</v>
      </c>
      <c r="D33" s="20" t="n">
        <v>0.7083333333333334</v>
      </c>
      <c r="E33" s="20" t="n">
        <v>0.02083333333333333</v>
      </c>
      <c r="F33" s="12" t="inlineStr">
        <is>
          <t>駐在所</t>
        </is>
      </c>
      <c r="G33" s="12" t="inlineStr">
        <is>
          <t>駐在所</t>
        </is>
      </c>
      <c r="H33" s="12" t="inlineStr">
        <is>
          <t>助手</t>
        </is>
      </c>
      <c r="I33" s="12" t="inlineStr">
        <is>
          <t>EA105</t>
        </is>
      </c>
      <c r="J33" s="12" t="inlineStr">
        <is>
          <t>鳥居水門</t>
        </is>
      </c>
      <c r="K33" s="14" t="inlineStr">
        <is>
          <t>鳥居水門の統合モデを修正</t>
        </is>
      </c>
      <c r="L33" s="75" t="n">
        <v>2</v>
      </c>
      <c r="M33" s="12" t="inlineStr">
        <is>
          <t>AUTODESK</t>
        </is>
      </c>
      <c r="N33" s="76" t="n">
        <v>1750</v>
      </c>
      <c r="O33" s="12" t="inlineStr">
        <is>
          <t>なし</t>
        </is>
      </c>
      <c r="P33" s="12" t="inlineStr">
        <is>
          <t>-</t>
        </is>
      </c>
      <c r="Q33" s="12" t="inlineStr">
        <is>
          <t>-</t>
        </is>
      </c>
      <c r="R33" s="77" t="inlineStr">
        <is>
          <t>-</t>
        </is>
      </c>
      <c r="S33" s="1" t="inlineStr">
        <is>
          <t>-</t>
        </is>
      </c>
    </row>
    <row r="34" hidden="1" s="79">
      <c r="A34" s="74" t="n">
        <v>46134</v>
      </c>
      <c r="B34" s="12" t="inlineStr">
        <is>
          <t>ズイ</t>
        </is>
      </c>
      <c r="C34" s="20" t="inlineStr">
        <is>
          <t>-</t>
        </is>
      </c>
      <c r="D34" s="20" t="inlineStr">
        <is>
          <t>-</t>
        </is>
      </c>
      <c r="E34" s="20" t="inlineStr">
        <is>
          <t>-</t>
        </is>
      </c>
      <c r="F34" s="12" t="inlineStr">
        <is>
          <t>-</t>
        </is>
      </c>
      <c r="G34" s="12" t="inlineStr">
        <is>
          <t>-</t>
        </is>
      </c>
      <c r="H34" s="12" t="inlineStr">
        <is>
          <t>助手</t>
        </is>
      </c>
      <c r="I34" s="12" t="inlineStr">
        <is>
          <t>VT01</t>
        </is>
      </c>
      <c r="J34" s="12" t="inlineStr">
        <is>
          <t>駐在所</t>
        </is>
      </c>
      <c r="K34" s="14" t="inlineStr">
        <is>
          <t>ベトナムオンライン</t>
        </is>
      </c>
      <c r="L34" s="75" t="n">
        <v>0.5</v>
      </c>
      <c r="M34" s="12" t="inlineStr">
        <is>
          <t>なし</t>
        </is>
      </c>
      <c r="N34" s="76" t="inlineStr">
        <is>
          <t>-</t>
        </is>
      </c>
      <c r="O34" s="12" t="inlineStr">
        <is>
          <t>なし</t>
        </is>
      </c>
      <c r="P34" s="12" t="inlineStr">
        <is>
          <t>-</t>
        </is>
      </c>
      <c r="Q34" s="12" t="inlineStr">
        <is>
          <t>-</t>
        </is>
      </c>
      <c r="R34" s="77" t="inlineStr">
        <is>
          <t>-</t>
        </is>
      </c>
      <c r="S34" s="1" t="inlineStr">
        <is>
          <t>-</t>
        </is>
      </c>
    </row>
    <row r="35" hidden="1" s="79">
      <c r="A35" s="74" t="n">
        <v>46134</v>
      </c>
      <c r="B35" s="12" t="inlineStr">
        <is>
          <t>ズイ</t>
        </is>
      </c>
      <c r="C35" s="20" t="inlineStr">
        <is>
          <t>-</t>
        </is>
      </c>
      <c r="D35" s="20" t="inlineStr">
        <is>
          <t>-</t>
        </is>
      </c>
      <c r="E35" s="20" t="inlineStr">
        <is>
          <t>-</t>
        </is>
      </c>
      <c r="F35" s="12" t="inlineStr">
        <is>
          <t>-</t>
        </is>
      </c>
      <c r="G35" s="12" t="inlineStr">
        <is>
          <t>-</t>
        </is>
      </c>
      <c r="H35" s="12" t="inlineStr">
        <is>
          <t>助手</t>
        </is>
      </c>
      <c r="I35" s="59" t="inlineStr">
        <is>
          <t>EA134</t>
        </is>
      </c>
      <c r="J35" s="1" t="inlineStr">
        <is>
          <t>教材作成</t>
        </is>
      </c>
      <c r="K35" s="14" t="inlineStr">
        <is>
          <t>Twinmotionによって施工ステップのガイドを作成</t>
        </is>
      </c>
      <c r="L35" s="75" t="n">
        <v>6</v>
      </c>
      <c r="M35" s="12" t="inlineStr">
        <is>
          <t>AUTODESK</t>
        </is>
      </c>
      <c r="N35" s="76" t="n">
        <v>1750</v>
      </c>
      <c r="O35" s="12" t="inlineStr">
        <is>
          <t>なし</t>
        </is>
      </c>
      <c r="P35" s="12" t="inlineStr">
        <is>
          <t>-</t>
        </is>
      </c>
      <c r="Q35" s="12" t="inlineStr">
        <is>
          <t>-</t>
        </is>
      </c>
      <c r="R35" s="77" t="inlineStr">
        <is>
          <t>-</t>
        </is>
      </c>
      <c r="S35" s="1" t="inlineStr">
        <is>
          <t>-</t>
        </is>
      </c>
    </row>
    <row r="36" hidden="1" s="79">
      <c r="A36" s="74" t="n">
        <v>46134</v>
      </c>
      <c r="B36" s="12" t="inlineStr">
        <is>
          <t>人見</t>
        </is>
      </c>
      <c r="C36" s="20" t="n">
        <v>0.3541666666666667</v>
      </c>
      <c r="D36" s="20" t="n">
        <v>0.7291666666666666</v>
      </c>
      <c r="E36" s="20" t="n">
        <v>0</v>
      </c>
      <c r="F36" s="12" t="inlineStr">
        <is>
          <t>本社</t>
        </is>
      </c>
      <c r="G36" s="12" t="inlineStr">
        <is>
          <t>本社</t>
        </is>
      </c>
      <c r="H36" s="12" t="inlineStr">
        <is>
          <t>助手</t>
        </is>
      </c>
      <c r="I36" s="1" t="inlineStr">
        <is>
          <t>開発</t>
        </is>
      </c>
      <c r="J36" s="1" t="inlineStr">
        <is>
          <t>開発関係</t>
        </is>
      </c>
      <c r="K36" s="14" t="inlineStr">
        <is>
          <t>MK32の接続テスト</t>
        </is>
      </c>
      <c r="L36" s="75" t="n">
        <v>2</v>
      </c>
      <c r="M36" s="12" t="inlineStr">
        <is>
          <t>なし</t>
        </is>
      </c>
      <c r="N36" s="76" t="inlineStr">
        <is>
          <t>-</t>
        </is>
      </c>
      <c r="O36" s="12" t="inlineStr">
        <is>
          <t>なし</t>
        </is>
      </c>
      <c r="P36" s="12" t="inlineStr">
        <is>
          <t>-</t>
        </is>
      </c>
      <c r="Q36" s="12" t="inlineStr">
        <is>
          <t>-</t>
        </is>
      </c>
      <c r="R36" s="77" t="inlineStr">
        <is>
          <t>-</t>
        </is>
      </c>
      <c r="S36" s="1" t="inlineStr">
        <is>
          <t>-</t>
        </is>
      </c>
    </row>
    <row r="37" hidden="1" s="79">
      <c r="A37" s="74" t="n">
        <v>46134</v>
      </c>
      <c r="B37" s="12" t="inlineStr">
        <is>
          <t>人見</t>
        </is>
      </c>
      <c r="C37" s="20" t="inlineStr">
        <is>
          <t>-</t>
        </is>
      </c>
      <c r="D37" s="20" t="inlineStr">
        <is>
          <t>-</t>
        </is>
      </c>
      <c r="E37" s="20" t="inlineStr">
        <is>
          <t>-</t>
        </is>
      </c>
      <c r="F37" s="12" t="inlineStr">
        <is>
          <t>-</t>
        </is>
      </c>
      <c r="G37" s="12" t="inlineStr">
        <is>
          <t>-</t>
        </is>
      </c>
      <c r="H37" s="12" t="inlineStr">
        <is>
          <t>助手</t>
        </is>
      </c>
      <c r="I37" s="12" t="inlineStr">
        <is>
          <t>開発</t>
        </is>
      </c>
      <c r="J37" s="12" t="inlineStr">
        <is>
          <t>開発関係</t>
        </is>
      </c>
      <c r="K37" s="14" t="inlineStr">
        <is>
          <t>VPNの学習</t>
        </is>
      </c>
      <c r="L37" s="75" t="n">
        <v>6</v>
      </c>
      <c r="M37" s="12" t="inlineStr">
        <is>
          <t>なし</t>
        </is>
      </c>
      <c r="N37" s="76" t="inlineStr">
        <is>
          <t>-</t>
        </is>
      </c>
      <c r="O37" s="12" t="inlineStr">
        <is>
          <t>なし</t>
        </is>
      </c>
      <c r="P37" s="12" t="inlineStr">
        <is>
          <t>-</t>
        </is>
      </c>
      <c r="Q37" s="12" t="inlineStr">
        <is>
          <t>-</t>
        </is>
      </c>
      <c r="R37" s="77" t="inlineStr">
        <is>
          <t>-</t>
        </is>
      </c>
      <c r="S37" s="1" t="inlineStr">
        <is>
          <t>-</t>
        </is>
      </c>
    </row>
    <row r="38" hidden="1" s="79">
      <c r="A38" s="74" t="n">
        <v>46133</v>
      </c>
      <c r="B38" s="12" t="inlineStr">
        <is>
          <t>竹本</t>
        </is>
      </c>
      <c r="C38" s="20" t="n">
        <v>0.3541666666666667</v>
      </c>
      <c r="D38" s="20" t="n">
        <v>0.7291666666666666</v>
      </c>
      <c r="E38" s="20" t="n">
        <v>0</v>
      </c>
      <c r="F38" s="20" t="inlineStr">
        <is>
          <t>現場</t>
        </is>
      </c>
      <c r="G38" s="20" t="inlineStr">
        <is>
          <t>現場</t>
        </is>
      </c>
      <c r="H38" s="12" t="inlineStr">
        <is>
          <t>技師</t>
        </is>
      </c>
      <c r="I38" s="12" t="inlineStr">
        <is>
          <t>EA156</t>
        </is>
      </c>
      <c r="J38" s="12" t="inlineStr">
        <is>
          <t>R7寺田拡幅</t>
        </is>
      </c>
      <c r="K38" s="14" t="inlineStr">
        <is>
          <t>現況調査　ガウシアン　既設基準点確認</t>
        </is>
      </c>
      <c r="L38" s="75" t="n">
        <v>8</v>
      </c>
      <c r="M38" s="12" t="inlineStr">
        <is>
          <t>なし</t>
        </is>
      </c>
      <c r="N38" s="76" t="inlineStr">
        <is>
          <t>-</t>
        </is>
      </c>
      <c r="O38" s="12" t="inlineStr">
        <is>
          <t>なし</t>
        </is>
      </c>
      <c r="P38" s="12" t="inlineStr">
        <is>
          <t>-</t>
        </is>
      </c>
      <c r="Q38" s="12" t="inlineStr">
        <is>
          <t>-</t>
        </is>
      </c>
      <c r="R38" s="77" t="inlineStr">
        <is>
          <t>-</t>
        </is>
      </c>
      <c r="S38" s="1" t="inlineStr">
        <is>
          <t>-</t>
        </is>
      </c>
    </row>
    <row r="39" hidden="1" s="79">
      <c r="A39" s="74" t="n">
        <v>46134</v>
      </c>
      <c r="B39" s="12" t="inlineStr">
        <is>
          <t>竹本</t>
        </is>
      </c>
      <c r="C39" s="20" t="n">
        <v>0.5416666666666666</v>
      </c>
      <c r="D39" s="20" t="n">
        <v>0.7083333333333334</v>
      </c>
      <c r="E39" s="20" t="inlineStr">
        <is>
          <t>-05:00</t>
        </is>
      </c>
      <c r="F39" s="12" t="inlineStr">
        <is>
          <t>綾部</t>
        </is>
      </c>
      <c r="G39" s="12" t="inlineStr">
        <is>
          <t>綾部</t>
        </is>
      </c>
      <c r="H39" s="12" t="inlineStr">
        <is>
          <t>技師</t>
        </is>
      </c>
      <c r="I39" s="59" t="inlineStr">
        <is>
          <t>EA156</t>
        </is>
      </c>
      <c r="J39" s="1" t="inlineStr">
        <is>
          <t>R7寺田拡幅</t>
        </is>
      </c>
      <c r="K39" s="14" t="inlineStr">
        <is>
          <t>測量計画書作成「基準点・水準」</t>
        </is>
      </c>
      <c r="L39" s="75" t="n">
        <v>4</v>
      </c>
      <c r="M39" s="12" t="inlineStr">
        <is>
          <t>武蔵</t>
        </is>
      </c>
      <c r="N39" s="76" t="n">
        <v>480</v>
      </c>
      <c r="O39" s="12" t="inlineStr">
        <is>
          <t>なし</t>
        </is>
      </c>
      <c r="P39" s="12" t="inlineStr">
        <is>
          <t>-</t>
        </is>
      </c>
      <c r="Q39" s="12" t="inlineStr">
        <is>
          <t>-</t>
        </is>
      </c>
      <c r="R39" s="77" t="inlineStr">
        <is>
          <t>-</t>
        </is>
      </c>
      <c r="S39" s="1" t="inlineStr">
        <is>
          <t>-</t>
        </is>
      </c>
    </row>
    <row r="40" hidden="1" s="79">
      <c r="A40" s="74" t="n">
        <v>46134</v>
      </c>
      <c r="B40" s="12" t="inlineStr">
        <is>
          <t>タイ</t>
        </is>
      </c>
      <c r="C40" s="20" t="n">
        <v>0.3541666666666667</v>
      </c>
      <c r="D40" s="20" t="n">
        <v>0.7291666666666666</v>
      </c>
      <c r="E40" s="20" t="n">
        <v>0</v>
      </c>
      <c r="F40" s="12" t="inlineStr">
        <is>
          <t>本社</t>
        </is>
      </c>
      <c r="G40" s="12" t="inlineStr">
        <is>
          <t>本社</t>
        </is>
      </c>
      <c r="H40" s="12" t="inlineStr">
        <is>
          <t>助手</t>
        </is>
      </c>
      <c r="I40" s="59" t="inlineStr">
        <is>
          <t>EA105</t>
        </is>
      </c>
      <c r="J40" s="1" t="inlineStr">
        <is>
          <t>鳥居水門</t>
        </is>
      </c>
      <c r="K40" s="14" t="inlineStr">
        <is>
          <t>BIMCIMフォルダ資料の作成</t>
        </is>
      </c>
      <c r="L40" s="75" t="n">
        <v>1</v>
      </c>
      <c r="M40" s="12" t="inlineStr">
        <is>
          <t>AUTODESK</t>
        </is>
      </c>
      <c r="N40" s="76" t="n">
        <v>1750</v>
      </c>
      <c r="O40" s="12" t="inlineStr">
        <is>
          <t>なし</t>
        </is>
      </c>
      <c r="P40" s="12" t="inlineStr">
        <is>
          <t>-</t>
        </is>
      </c>
      <c r="Q40" s="12" t="inlineStr">
        <is>
          <t>-</t>
        </is>
      </c>
      <c r="R40" s="77" t="inlineStr">
        <is>
          <t>-</t>
        </is>
      </c>
      <c r="S40" s="1" t="inlineStr">
        <is>
          <t>-</t>
        </is>
      </c>
    </row>
    <row r="41" hidden="1" s="79">
      <c r="A41" s="74" t="n">
        <v>46134</v>
      </c>
      <c r="B41" s="12" t="inlineStr">
        <is>
          <t>タイ</t>
        </is>
      </c>
      <c r="C41" s="20" t="inlineStr">
        <is>
          <t>-</t>
        </is>
      </c>
      <c r="D41" s="20" t="inlineStr">
        <is>
          <t>-</t>
        </is>
      </c>
      <c r="E41" s="20" t="inlineStr">
        <is>
          <t>-</t>
        </is>
      </c>
      <c r="F41" s="12" t="inlineStr">
        <is>
          <t>-</t>
        </is>
      </c>
      <c r="G41" s="12" t="inlineStr">
        <is>
          <t>-</t>
        </is>
      </c>
      <c r="H41" s="12" t="inlineStr">
        <is>
          <t>助手</t>
        </is>
      </c>
      <c r="I41" s="38" t="inlineStr">
        <is>
          <t>VT01</t>
        </is>
      </c>
      <c r="J41" s="39" t="inlineStr">
        <is>
          <t>駐在所</t>
        </is>
      </c>
      <c r="K41" s="14" t="inlineStr">
        <is>
          <t>ベトナムオンライン</t>
        </is>
      </c>
      <c r="L41" s="75" t="n">
        <v>0.5</v>
      </c>
      <c r="M41" s="12" t="inlineStr">
        <is>
          <t>なし</t>
        </is>
      </c>
      <c r="N41" s="76" t="inlineStr">
        <is>
          <t>-</t>
        </is>
      </c>
      <c r="O41" s="12" t="inlineStr">
        <is>
          <t>なし</t>
        </is>
      </c>
      <c r="P41" s="12" t="inlineStr">
        <is>
          <t>-</t>
        </is>
      </c>
      <c r="Q41" s="12" t="inlineStr">
        <is>
          <t>-</t>
        </is>
      </c>
      <c r="R41" s="77" t="inlineStr">
        <is>
          <t>-</t>
        </is>
      </c>
      <c r="S41" s="1" t="inlineStr">
        <is>
          <t>-</t>
        </is>
      </c>
    </row>
    <row r="42" hidden="1" s="79">
      <c r="A42" s="74" t="n">
        <v>46134</v>
      </c>
      <c r="B42" s="12" t="inlineStr">
        <is>
          <t>タイ</t>
        </is>
      </c>
      <c r="C42" s="20" t="inlineStr">
        <is>
          <t>-</t>
        </is>
      </c>
      <c r="D42" s="20" t="inlineStr">
        <is>
          <t>-</t>
        </is>
      </c>
      <c r="E42" s="20" t="inlineStr">
        <is>
          <t>-</t>
        </is>
      </c>
      <c r="F42" s="12" t="inlineStr">
        <is>
          <t>-</t>
        </is>
      </c>
      <c r="G42" s="12" t="inlineStr">
        <is>
          <t>-</t>
        </is>
      </c>
      <c r="H42" s="12" t="inlineStr">
        <is>
          <t>助手</t>
        </is>
      </c>
      <c r="I42" s="12" t="inlineStr">
        <is>
          <t>EA156</t>
        </is>
      </c>
      <c r="J42" s="12" t="inlineStr">
        <is>
          <t>R7寺田拡幅</t>
        </is>
      </c>
      <c r="K42" s="14" t="inlineStr">
        <is>
          <t>寺田拡幅交差点の3Dモデル作成</t>
        </is>
      </c>
      <c r="L42" s="75" t="n">
        <v>6.5</v>
      </c>
      <c r="M42" s="12" t="inlineStr">
        <is>
          <t>AUTODESK</t>
        </is>
      </c>
      <c r="N42" s="76" t="n">
        <v>1750</v>
      </c>
      <c r="O42" s="12" t="inlineStr">
        <is>
          <t>なし</t>
        </is>
      </c>
      <c r="P42" s="12" t="inlineStr">
        <is>
          <t>-</t>
        </is>
      </c>
      <c r="Q42" s="12" t="inlineStr">
        <is>
          <t>-</t>
        </is>
      </c>
      <c r="R42" s="77" t="inlineStr">
        <is>
          <t>-</t>
        </is>
      </c>
      <c r="S42" s="1" t="inlineStr">
        <is>
          <t>-</t>
        </is>
      </c>
    </row>
    <row r="43" hidden="1" s="79">
      <c r="A43" s="74" t="n">
        <v>46135</v>
      </c>
      <c r="B43" s="12" t="inlineStr">
        <is>
          <t>内藤</t>
        </is>
      </c>
      <c r="C43" s="20" t="n">
        <v>0.3541666666666667</v>
      </c>
      <c r="D43" s="20" t="n">
        <v>0.75</v>
      </c>
      <c r="E43" s="20" t="n">
        <v>0.02083333333333333</v>
      </c>
      <c r="F43" s="12" t="inlineStr">
        <is>
          <t>本社</t>
        </is>
      </c>
      <c r="G43" s="12" t="inlineStr">
        <is>
          <t>本社</t>
        </is>
      </c>
      <c r="H43" s="12" t="inlineStr">
        <is>
          <t>助手</t>
        </is>
      </c>
      <c r="I43" s="12" t="inlineStr">
        <is>
          <t>事務</t>
        </is>
      </c>
      <c r="J43" s="12" t="inlineStr">
        <is>
          <t>事務</t>
        </is>
      </c>
      <c r="K43" s="14" t="inlineStr">
        <is>
          <t>請負業務一覧表の更新</t>
        </is>
      </c>
      <c r="L43" s="75" t="n">
        <v>0.5</v>
      </c>
      <c r="M43" s="12" t="inlineStr">
        <is>
          <t>なし</t>
        </is>
      </c>
      <c r="N43" s="76" t="inlineStr">
        <is>
          <t>-</t>
        </is>
      </c>
      <c r="O43" s="12" t="inlineStr">
        <is>
          <t>なし</t>
        </is>
      </c>
      <c r="P43" s="12" t="inlineStr">
        <is>
          <t>-</t>
        </is>
      </c>
      <c r="Q43" s="12" t="inlineStr">
        <is>
          <t>-</t>
        </is>
      </c>
      <c r="R43" s="77" t="inlineStr">
        <is>
          <t>-</t>
        </is>
      </c>
      <c r="S43" s="1" t="inlineStr">
        <is>
          <t>-</t>
        </is>
      </c>
    </row>
    <row r="44" hidden="1" s="79">
      <c r="A44" s="74" t="n">
        <v>46135</v>
      </c>
      <c r="B44" s="12" t="inlineStr">
        <is>
          <t>内藤</t>
        </is>
      </c>
      <c r="C44" s="20" t="inlineStr">
        <is>
          <t>-</t>
        </is>
      </c>
      <c r="D44" s="20" t="inlineStr">
        <is>
          <t>-</t>
        </is>
      </c>
      <c r="E44" s="20" t="inlineStr">
        <is>
          <t>-</t>
        </is>
      </c>
      <c r="F44" s="12" t="inlineStr">
        <is>
          <t>-</t>
        </is>
      </c>
      <c r="G44" s="12" t="inlineStr">
        <is>
          <t>-</t>
        </is>
      </c>
      <c r="H44" s="12" t="inlineStr">
        <is>
          <t>助手</t>
        </is>
      </c>
      <c r="I44" s="12" t="inlineStr">
        <is>
          <t>EA151</t>
        </is>
      </c>
      <c r="J44" s="12" t="inlineStr">
        <is>
          <t>由良川調査</t>
        </is>
      </c>
      <c r="K44" s="14" t="inlineStr">
        <is>
          <t>メール対応（入金について）</t>
        </is>
      </c>
      <c r="L44" s="75" t="n">
        <v>0.5</v>
      </c>
      <c r="M44" s="12" t="inlineStr">
        <is>
          <t>なし</t>
        </is>
      </c>
      <c r="N44" s="76" t="inlineStr">
        <is>
          <t>-</t>
        </is>
      </c>
      <c r="O44" s="12" t="inlineStr">
        <is>
          <t>なし</t>
        </is>
      </c>
      <c r="P44" s="12" t="inlineStr">
        <is>
          <t>-</t>
        </is>
      </c>
      <c r="Q44" s="12" t="inlineStr">
        <is>
          <t>-</t>
        </is>
      </c>
      <c r="R44" s="77" t="inlineStr">
        <is>
          <t>-</t>
        </is>
      </c>
      <c r="S44" s="1" t="inlineStr">
        <is>
          <t>-</t>
        </is>
      </c>
    </row>
    <row r="45" hidden="1" s="79">
      <c r="A45" s="74" t="n">
        <v>46135</v>
      </c>
      <c r="B45" s="12" t="inlineStr">
        <is>
          <t>内藤</t>
        </is>
      </c>
      <c r="C45" s="20" t="inlineStr">
        <is>
          <t>-</t>
        </is>
      </c>
      <c r="D45" s="20" t="inlineStr">
        <is>
          <t>-</t>
        </is>
      </c>
      <c r="E45" s="20" t="inlineStr">
        <is>
          <t>-</t>
        </is>
      </c>
      <c r="F45" s="12" t="inlineStr">
        <is>
          <t>-</t>
        </is>
      </c>
      <c r="G45" s="12" t="inlineStr">
        <is>
          <t>-</t>
        </is>
      </c>
      <c r="H45" s="12" t="inlineStr">
        <is>
          <t>助手</t>
        </is>
      </c>
      <c r="I45" s="59" t="inlineStr">
        <is>
          <t>EA45</t>
        </is>
      </c>
      <c r="J45" s="1" t="inlineStr">
        <is>
          <t>北陸</t>
        </is>
      </c>
      <c r="K45" s="14" t="inlineStr">
        <is>
          <t>黒田高架橋 詳細 質問に対しての回答を確認し、メール対応</t>
        </is>
      </c>
      <c r="L45" s="75" t="n">
        <v>0.5</v>
      </c>
      <c r="M45" s="12" t="inlineStr">
        <is>
          <t>なし</t>
        </is>
      </c>
      <c r="N45" s="76" t="inlineStr">
        <is>
          <t>-</t>
        </is>
      </c>
      <c r="O45" s="12" t="inlineStr">
        <is>
          <t>なし</t>
        </is>
      </c>
      <c r="P45" s="12" t="inlineStr">
        <is>
          <t>-</t>
        </is>
      </c>
      <c r="Q45" s="12" t="inlineStr">
        <is>
          <t>-</t>
        </is>
      </c>
      <c r="R45" s="77" t="inlineStr">
        <is>
          <t>-</t>
        </is>
      </c>
      <c r="S45" s="1" t="inlineStr">
        <is>
          <t>-</t>
        </is>
      </c>
    </row>
    <row r="46" hidden="1" s="79">
      <c r="A46" s="74" t="n">
        <v>46135</v>
      </c>
      <c r="B46" s="12" t="inlineStr">
        <is>
          <t>内藤</t>
        </is>
      </c>
      <c r="C46" s="20" t="inlineStr">
        <is>
          <t>-</t>
        </is>
      </c>
      <c r="D46" s="20" t="inlineStr">
        <is>
          <t>-</t>
        </is>
      </c>
      <c r="E46" s="20" t="inlineStr">
        <is>
          <t>-</t>
        </is>
      </c>
      <c r="F46" s="12" t="inlineStr">
        <is>
          <t>-</t>
        </is>
      </c>
      <c r="G46" s="12" t="inlineStr">
        <is>
          <t>-</t>
        </is>
      </c>
      <c r="H46" s="12" t="inlineStr">
        <is>
          <t>助手</t>
        </is>
      </c>
      <c r="I46" s="12" t="inlineStr">
        <is>
          <t>EA105</t>
        </is>
      </c>
      <c r="J46" s="12" t="inlineStr">
        <is>
          <t>鳥居水門</t>
        </is>
      </c>
      <c r="K46" s="14" t="inlineStr">
        <is>
          <t>BIM/CIMフォルダの納品</t>
        </is>
      </c>
      <c r="L46" s="75" t="n">
        <v>1</v>
      </c>
      <c r="M46" s="12" t="inlineStr">
        <is>
          <t>なし</t>
        </is>
      </c>
      <c r="N46" s="76" t="inlineStr">
        <is>
          <t>-</t>
        </is>
      </c>
      <c r="O46" s="12" t="inlineStr">
        <is>
          <t>なし</t>
        </is>
      </c>
      <c r="P46" s="12" t="inlineStr">
        <is>
          <t>-</t>
        </is>
      </c>
      <c r="Q46" s="12" t="inlineStr">
        <is>
          <t>-</t>
        </is>
      </c>
      <c r="R46" s="77" t="inlineStr">
        <is>
          <t>-</t>
        </is>
      </c>
      <c r="S46" s="1" t="inlineStr">
        <is>
          <t>-</t>
        </is>
      </c>
    </row>
    <row r="47" hidden="1" s="79">
      <c r="A47" s="74" t="n">
        <v>46135</v>
      </c>
      <c r="B47" s="12" t="inlineStr">
        <is>
          <t>内藤</t>
        </is>
      </c>
      <c r="C47" s="20" t="inlineStr">
        <is>
          <t>-</t>
        </is>
      </c>
      <c r="D47" s="20" t="inlineStr">
        <is>
          <t>-</t>
        </is>
      </c>
      <c r="E47" s="20" t="inlineStr">
        <is>
          <t>-</t>
        </is>
      </c>
      <c r="F47" s="12" t="inlineStr">
        <is>
          <t>-</t>
        </is>
      </c>
      <c r="G47" s="12" t="inlineStr">
        <is>
          <t>-</t>
        </is>
      </c>
      <c r="H47" s="12" t="inlineStr">
        <is>
          <t>助手</t>
        </is>
      </c>
      <c r="I47" s="12" t="inlineStr">
        <is>
          <t>EA106</t>
        </is>
      </c>
      <c r="J47" s="12" t="inlineStr">
        <is>
          <t>国道9号京都西</t>
        </is>
      </c>
      <c r="K47" s="14" t="inlineStr">
        <is>
          <t>バックパック式TLSに関する動画編集の補助</t>
        </is>
      </c>
      <c r="L47" s="75" t="n">
        <v>1.5</v>
      </c>
      <c r="M47" s="12" t="inlineStr">
        <is>
          <t>なし</t>
        </is>
      </c>
      <c r="N47" s="76" t="inlineStr">
        <is>
          <t>-</t>
        </is>
      </c>
      <c r="O47" s="12" t="inlineStr">
        <is>
          <t>なし</t>
        </is>
      </c>
      <c r="P47" s="12" t="inlineStr">
        <is>
          <t>-</t>
        </is>
      </c>
      <c r="Q47" s="12" t="inlineStr">
        <is>
          <t>-</t>
        </is>
      </c>
      <c r="R47" s="77" t="inlineStr">
        <is>
          <t>-</t>
        </is>
      </c>
      <c r="S47" s="1" t="inlineStr">
        <is>
          <t>-</t>
        </is>
      </c>
    </row>
    <row r="48" hidden="1" s="79">
      <c r="A48" s="74" t="n">
        <v>46134</v>
      </c>
      <c r="B48" s="12" t="inlineStr">
        <is>
          <t>仲</t>
        </is>
      </c>
      <c r="C48" s="20" t="n">
        <v>0.3541666666666667</v>
      </c>
      <c r="D48" s="20" t="n">
        <v>0.7708333333333334</v>
      </c>
      <c r="E48" s="20" t="n">
        <v>0.04166666666666666</v>
      </c>
      <c r="F48" s="12" t="inlineStr">
        <is>
          <t>本社</t>
        </is>
      </c>
      <c r="G48" s="12" t="inlineStr">
        <is>
          <t>本社</t>
        </is>
      </c>
      <c r="H48" s="12" t="inlineStr">
        <is>
          <t>助手</t>
        </is>
      </c>
      <c r="I48" s="38" t="inlineStr">
        <is>
          <t>EA94</t>
        </is>
      </c>
      <c r="J48" s="39" t="inlineStr">
        <is>
          <t>なにわ筋</t>
        </is>
      </c>
      <c r="K48" s="14" t="inlineStr">
        <is>
          <t>錢高組様と打ち合わせ</t>
        </is>
      </c>
      <c r="L48" s="75" t="n">
        <v>5</v>
      </c>
      <c r="M48" s="12" t="inlineStr">
        <is>
          <t>なし</t>
        </is>
      </c>
      <c r="N48" s="76" t="inlineStr">
        <is>
          <t>-</t>
        </is>
      </c>
      <c r="O48" s="12" t="inlineStr">
        <is>
          <t>ステップワゴン</t>
        </is>
      </c>
      <c r="P48" s="12" t="inlineStr">
        <is>
          <t>本社</t>
        </is>
      </c>
      <c r="Q48" s="12" t="inlineStr">
        <is>
          <t>なにわ筋</t>
        </is>
      </c>
      <c r="R48" s="77" t="n">
        <v>53</v>
      </c>
      <c r="S48" s="1" t="inlineStr">
        <is>
          <t>高速</t>
        </is>
      </c>
    </row>
    <row r="49" hidden="1" s="79">
      <c r="A49" s="74" t="n">
        <v>46134</v>
      </c>
      <c r="B49" s="12" t="inlineStr">
        <is>
          <t>仲</t>
        </is>
      </c>
      <c r="C49" s="20" t="inlineStr">
        <is>
          <t>-</t>
        </is>
      </c>
      <c r="D49" s="20" t="inlineStr">
        <is>
          <t>-</t>
        </is>
      </c>
      <c r="E49" s="20" t="inlineStr">
        <is>
          <t>-</t>
        </is>
      </c>
      <c r="F49" s="12" t="inlineStr">
        <is>
          <t>-</t>
        </is>
      </c>
      <c r="G49" s="12" t="inlineStr">
        <is>
          <t>-</t>
        </is>
      </c>
      <c r="H49" s="12" t="inlineStr">
        <is>
          <t>助手</t>
        </is>
      </c>
      <c r="I49" s="59" t="inlineStr">
        <is>
          <t>EA94</t>
        </is>
      </c>
      <c r="J49" s="1" t="inlineStr">
        <is>
          <t>なにわ筋</t>
        </is>
      </c>
      <c r="K49" s="14" t="inlineStr">
        <is>
          <t>KOLC+ラベル表示修正</t>
        </is>
      </c>
      <c r="L49" s="75" t="n">
        <v>2</v>
      </c>
      <c r="M49" s="12" t="inlineStr">
        <is>
          <t>なし</t>
        </is>
      </c>
      <c r="N49" s="76" t="inlineStr">
        <is>
          <t>-</t>
        </is>
      </c>
      <c r="O49" s="12" t="inlineStr">
        <is>
          <t>なし</t>
        </is>
      </c>
      <c r="P49" s="12" t="inlineStr">
        <is>
          <t>-</t>
        </is>
      </c>
      <c r="Q49" s="12" t="inlineStr">
        <is>
          <t>-</t>
        </is>
      </c>
      <c r="R49" s="77" t="inlineStr">
        <is>
          <t>-</t>
        </is>
      </c>
      <c r="S49" s="1" t="inlineStr">
        <is>
          <t>-</t>
        </is>
      </c>
    </row>
    <row r="50" hidden="1" s="79">
      <c r="A50" s="74" t="n">
        <v>46134</v>
      </c>
      <c r="B50" s="12" t="inlineStr">
        <is>
          <t>仲</t>
        </is>
      </c>
      <c r="C50" s="20" t="inlineStr">
        <is>
          <t>-</t>
        </is>
      </c>
      <c r="D50" s="20" t="inlineStr">
        <is>
          <t>-</t>
        </is>
      </c>
      <c r="E50" s="20" t="inlineStr">
        <is>
          <t>-</t>
        </is>
      </c>
      <c r="F50" s="12" t="inlineStr">
        <is>
          <t>-</t>
        </is>
      </c>
      <c r="G50" s="12" t="inlineStr">
        <is>
          <t>-</t>
        </is>
      </c>
      <c r="H50" s="12" t="inlineStr">
        <is>
          <t>助手</t>
        </is>
      </c>
      <c r="I50" s="59" t="inlineStr">
        <is>
          <t>EA156</t>
        </is>
      </c>
      <c r="J50" s="1" t="inlineStr">
        <is>
          <t>R7寺田拡幅</t>
        </is>
      </c>
      <c r="K50" s="14" t="inlineStr">
        <is>
          <t>計測ガウシアン解析</t>
        </is>
      </c>
      <c r="L50" s="75" t="n">
        <v>2</v>
      </c>
      <c r="M50" s="12" t="inlineStr">
        <is>
          <t>Trend-Point</t>
        </is>
      </c>
      <c r="N50" s="76" t="n">
        <v>600</v>
      </c>
      <c r="O50" s="12" t="inlineStr">
        <is>
          <t>なし</t>
        </is>
      </c>
      <c r="P50" s="12" t="inlineStr">
        <is>
          <t>-</t>
        </is>
      </c>
      <c r="Q50" s="12" t="inlineStr">
        <is>
          <t>-</t>
        </is>
      </c>
      <c r="R50" s="77" t="inlineStr">
        <is>
          <t>-</t>
        </is>
      </c>
      <c r="S50" s="1" t="inlineStr">
        <is>
          <t>-</t>
        </is>
      </c>
    </row>
    <row r="51" hidden="1" s="79">
      <c r="A51" s="74" t="n">
        <v>46135</v>
      </c>
      <c r="B51" s="12" t="inlineStr">
        <is>
          <t>金本</t>
        </is>
      </c>
      <c r="C51" s="20" t="n">
        <v>0.3541666666666667</v>
      </c>
      <c r="D51" s="20" t="n">
        <v>0.7291666666666666</v>
      </c>
      <c r="E51" s="20" t="n">
        <v>0</v>
      </c>
      <c r="F51" s="12" t="inlineStr">
        <is>
          <t>本社</t>
        </is>
      </c>
      <c r="G51" s="12" t="inlineStr">
        <is>
          <t>本社</t>
        </is>
      </c>
      <c r="H51" s="12" t="inlineStr">
        <is>
          <t>助手</t>
        </is>
      </c>
      <c r="I51" s="12" t="inlineStr">
        <is>
          <t>営業</t>
        </is>
      </c>
      <c r="J51" s="12" t="inlineStr">
        <is>
          <t>営業</t>
        </is>
      </c>
      <c r="K51" s="14" t="inlineStr">
        <is>
          <t>錢高組 テイン様から質問いただいていたコルク＋の問題を検証し、メールで回答</t>
        </is>
      </c>
      <c r="L51" s="75" t="n">
        <v>2</v>
      </c>
      <c r="M51" s="12" t="inlineStr">
        <is>
          <t>なし</t>
        </is>
      </c>
      <c r="N51" s="76" t="inlineStr">
        <is>
          <t>-</t>
        </is>
      </c>
      <c r="O51" s="12" t="inlineStr">
        <is>
          <t>なし</t>
        </is>
      </c>
      <c r="P51" s="12" t="inlineStr">
        <is>
          <t>-</t>
        </is>
      </c>
      <c r="Q51" s="12" t="inlineStr">
        <is>
          <t>-</t>
        </is>
      </c>
      <c r="R51" s="77" t="inlineStr">
        <is>
          <t>-</t>
        </is>
      </c>
      <c r="S51" s="1" t="inlineStr">
        <is>
          <t>-</t>
        </is>
      </c>
    </row>
    <row r="52" hidden="1" s="79">
      <c r="A52" s="74" t="n">
        <v>46135</v>
      </c>
      <c r="B52" s="12" t="inlineStr">
        <is>
          <t>金本</t>
        </is>
      </c>
      <c r="C52" s="20" t="inlineStr">
        <is>
          <t>-</t>
        </is>
      </c>
      <c r="D52" s="20" t="inlineStr">
        <is>
          <t>-</t>
        </is>
      </c>
      <c r="E52" s="20" t="inlineStr">
        <is>
          <t>-</t>
        </is>
      </c>
      <c r="F52" s="12" t="inlineStr">
        <is>
          <t>-</t>
        </is>
      </c>
      <c r="G52" s="12" t="inlineStr">
        <is>
          <t>-</t>
        </is>
      </c>
      <c r="H52" s="12" t="inlineStr">
        <is>
          <t>助手</t>
        </is>
      </c>
      <c r="I52" s="12" t="inlineStr">
        <is>
          <t>営業</t>
        </is>
      </c>
      <c r="J52" s="12" t="inlineStr">
        <is>
          <t>営業</t>
        </is>
      </c>
      <c r="K52" s="14" t="inlineStr">
        <is>
          <t>昼からの打ち合わせのための資料作成(錢高組 Revit講習の反省会資料)</t>
        </is>
      </c>
      <c r="L52" s="75" t="n">
        <v>4</v>
      </c>
      <c r="M52" s="12" t="inlineStr">
        <is>
          <t>なし</t>
        </is>
      </c>
      <c r="N52" s="76" t="inlineStr">
        <is>
          <t>-</t>
        </is>
      </c>
      <c r="O52" s="12" t="inlineStr">
        <is>
          <t>なし</t>
        </is>
      </c>
      <c r="P52" s="12" t="inlineStr">
        <is>
          <t>-</t>
        </is>
      </c>
      <c r="Q52" s="12" t="inlineStr">
        <is>
          <t>-</t>
        </is>
      </c>
      <c r="R52" s="77" t="inlineStr">
        <is>
          <t>-</t>
        </is>
      </c>
      <c r="S52" s="1" t="inlineStr">
        <is>
          <t>-</t>
        </is>
      </c>
    </row>
    <row r="53" hidden="1" s="79">
      <c r="A53" s="74" t="n">
        <v>46135</v>
      </c>
      <c r="B53" s="12" t="inlineStr">
        <is>
          <t>金本</t>
        </is>
      </c>
      <c r="C53" s="20" t="inlineStr">
        <is>
          <t>-</t>
        </is>
      </c>
      <c r="D53" s="20" t="inlineStr">
        <is>
          <t>-</t>
        </is>
      </c>
      <c r="E53" s="20" t="inlineStr">
        <is>
          <t>-</t>
        </is>
      </c>
      <c r="F53" s="12" t="inlineStr">
        <is>
          <t>-</t>
        </is>
      </c>
      <c r="G53" s="12" t="inlineStr">
        <is>
          <t>-</t>
        </is>
      </c>
      <c r="H53" s="12" t="inlineStr">
        <is>
          <t>助手</t>
        </is>
      </c>
      <c r="I53" s="59" t="inlineStr">
        <is>
          <t>開発</t>
        </is>
      </c>
      <c r="J53" s="1" t="inlineStr">
        <is>
          <t>開発関係</t>
        </is>
      </c>
      <c r="K53" s="14" t="inlineStr">
        <is>
          <t>打ち合わせ(人見さんが作ってくれたソフトの説明、錢高組 Revit講習の反省会)</t>
        </is>
      </c>
      <c r="L53" s="75" t="n">
        <v>2</v>
      </c>
      <c r="M53" s="12" t="inlineStr">
        <is>
          <t>なし</t>
        </is>
      </c>
      <c r="N53" s="76" t="inlineStr">
        <is>
          <t>-</t>
        </is>
      </c>
      <c r="O53" s="12" t="inlineStr">
        <is>
          <t>なし</t>
        </is>
      </c>
      <c r="P53" s="12" t="inlineStr">
        <is>
          <t>-</t>
        </is>
      </c>
      <c r="Q53" s="12" t="inlineStr">
        <is>
          <t>-</t>
        </is>
      </c>
      <c r="R53" s="77" t="inlineStr">
        <is>
          <t>-</t>
        </is>
      </c>
      <c r="S53" s="1" t="inlineStr">
        <is>
          <t>-</t>
        </is>
      </c>
    </row>
    <row r="54" hidden="1" s="79">
      <c r="A54" s="74" t="n">
        <v>46135</v>
      </c>
      <c r="B54" s="12" t="inlineStr">
        <is>
          <t>フック</t>
        </is>
      </c>
      <c r="C54" s="20" t="n">
        <v>0.3541666666666667</v>
      </c>
      <c r="D54" s="20" t="n">
        <v>0.7291666666666666</v>
      </c>
      <c r="E54" s="20" t="n">
        <v>0</v>
      </c>
      <c r="F54" s="12" t="inlineStr">
        <is>
          <t>本社</t>
        </is>
      </c>
      <c r="G54" s="12" t="inlineStr">
        <is>
          <t>本社</t>
        </is>
      </c>
      <c r="H54" s="12" t="inlineStr">
        <is>
          <t>助手</t>
        </is>
      </c>
      <c r="I54" s="59" t="inlineStr">
        <is>
          <t>開発</t>
        </is>
      </c>
      <c r="J54" s="1" t="inlineStr">
        <is>
          <t>開発関係</t>
        </is>
      </c>
      <c r="K54" s="14" t="inlineStr">
        <is>
          <t>打ち合わせ(人見さんが作ってくれたソフトの説明、錢高組 Revit講習の反省会)</t>
        </is>
      </c>
      <c r="L54" s="75" t="n">
        <v>2</v>
      </c>
      <c r="M54" s="12" t="inlineStr">
        <is>
          <t>なし</t>
        </is>
      </c>
      <c r="N54" s="76" t="inlineStr">
        <is>
          <t>-</t>
        </is>
      </c>
      <c r="O54" s="12" t="inlineStr">
        <is>
          <t>なし</t>
        </is>
      </c>
      <c r="P54" s="12" t="inlineStr">
        <is>
          <t>-</t>
        </is>
      </c>
      <c r="Q54" s="12" t="inlineStr">
        <is>
          <t>-</t>
        </is>
      </c>
      <c r="R54" s="77" t="inlineStr">
        <is>
          <t>-</t>
        </is>
      </c>
      <c r="S54" s="1" t="inlineStr">
        <is>
          <t>-</t>
        </is>
      </c>
    </row>
    <row r="55" hidden="1" s="79">
      <c r="A55" s="74" t="n">
        <v>46135</v>
      </c>
      <c r="B55" s="12" t="inlineStr">
        <is>
          <t>フック</t>
        </is>
      </c>
      <c r="C55" s="20" t="inlineStr">
        <is>
          <t>-</t>
        </is>
      </c>
      <c r="D55" s="20" t="inlineStr">
        <is>
          <t>-</t>
        </is>
      </c>
      <c r="E55" s="20" t="inlineStr">
        <is>
          <t>-</t>
        </is>
      </c>
      <c r="F55" s="12" t="inlineStr">
        <is>
          <t>-</t>
        </is>
      </c>
      <c r="G55" s="12" t="inlineStr">
        <is>
          <t>-</t>
        </is>
      </c>
      <c r="H55" s="12" t="inlineStr">
        <is>
          <t>助手</t>
        </is>
      </c>
      <c r="I55" s="59" t="inlineStr">
        <is>
          <t>RD28</t>
        </is>
      </c>
      <c r="J55" s="1" t="inlineStr">
        <is>
          <t>小型ドローン</t>
        </is>
      </c>
      <c r="K55" s="14" t="inlineStr">
        <is>
          <t>部品の配置をシミュレーション</t>
        </is>
      </c>
      <c r="L55" s="75" t="n">
        <v>5</v>
      </c>
      <c r="M55" s="12" t="inlineStr">
        <is>
          <t>AUTODESK</t>
        </is>
      </c>
      <c r="N55" s="76" t="n">
        <v>1750</v>
      </c>
      <c r="O55" s="12" t="inlineStr">
        <is>
          <t>なし</t>
        </is>
      </c>
      <c r="P55" s="12" t="inlineStr">
        <is>
          <t>-</t>
        </is>
      </c>
      <c r="Q55" s="12" t="inlineStr">
        <is>
          <t>-</t>
        </is>
      </c>
      <c r="R55" s="77" t="inlineStr">
        <is>
          <t>-</t>
        </is>
      </c>
      <c r="S55" s="1" t="inlineStr">
        <is>
          <t>-</t>
        </is>
      </c>
    </row>
    <row r="56" hidden="1" s="79">
      <c r="A56" s="74" t="n">
        <v>46135</v>
      </c>
      <c r="B56" s="12" t="inlineStr">
        <is>
          <t>フック</t>
        </is>
      </c>
      <c r="C56" s="20" t="inlineStr">
        <is>
          <t>-</t>
        </is>
      </c>
      <c r="D56" s="20" t="inlineStr">
        <is>
          <t>-</t>
        </is>
      </c>
      <c r="E56" s="20" t="inlineStr">
        <is>
          <t>-</t>
        </is>
      </c>
      <c r="F56" s="12" t="inlineStr">
        <is>
          <t>-</t>
        </is>
      </c>
      <c r="G56" s="12" t="inlineStr">
        <is>
          <t>-</t>
        </is>
      </c>
      <c r="H56" s="12" t="inlineStr">
        <is>
          <t>助手</t>
        </is>
      </c>
      <c r="I56" s="12" t="inlineStr">
        <is>
          <t>営業</t>
        </is>
      </c>
      <c r="J56" s="12" t="inlineStr">
        <is>
          <t>営業</t>
        </is>
      </c>
      <c r="K56" s="14" t="inlineStr">
        <is>
          <t>錢高組 テイン様から質問いただいていたコルク＋の問題を検証</t>
        </is>
      </c>
      <c r="L56" s="75" t="n">
        <v>1</v>
      </c>
      <c r="M56" s="12" t="inlineStr">
        <is>
          <t>AUTODESK</t>
        </is>
      </c>
      <c r="N56" s="76" t="n">
        <v>1750</v>
      </c>
      <c r="O56" s="12" t="inlineStr">
        <is>
          <t>なし</t>
        </is>
      </c>
      <c r="P56" s="12" t="inlineStr">
        <is>
          <t>-</t>
        </is>
      </c>
      <c r="Q56" s="12" t="inlineStr">
        <is>
          <t>-</t>
        </is>
      </c>
      <c r="R56" s="77" t="inlineStr">
        <is>
          <t>-</t>
        </is>
      </c>
      <c r="S56" s="1" t="inlineStr">
        <is>
          <t>-</t>
        </is>
      </c>
    </row>
    <row r="57" hidden="1" s="79">
      <c r="A57" s="74" t="n">
        <v>46135</v>
      </c>
      <c r="B57" s="12" t="inlineStr">
        <is>
          <t>人見</t>
        </is>
      </c>
      <c r="C57" s="20" t="n">
        <v>0.3541666666666667</v>
      </c>
      <c r="D57" s="20" t="n">
        <v>0.7291666666666666</v>
      </c>
      <c r="E57" s="20" t="n">
        <v>0</v>
      </c>
      <c r="F57" s="12" t="inlineStr">
        <is>
          <t>本社</t>
        </is>
      </c>
      <c r="G57" s="12" t="inlineStr">
        <is>
          <t>本社</t>
        </is>
      </c>
      <c r="H57" s="12" t="inlineStr">
        <is>
          <t>助手</t>
        </is>
      </c>
      <c r="I57" s="59" t="inlineStr">
        <is>
          <t>開発</t>
        </is>
      </c>
      <c r="J57" s="1" t="inlineStr">
        <is>
          <t>開発関係</t>
        </is>
      </c>
      <c r="K57" s="14" t="inlineStr">
        <is>
          <t>打ち合わせ(VPN解説、錢高組 Revit講習の反省会)</t>
        </is>
      </c>
      <c r="L57" s="75" t="n">
        <v>2</v>
      </c>
      <c r="M57" s="12" t="inlineStr">
        <is>
          <t>なし</t>
        </is>
      </c>
      <c r="N57" s="76" t="inlineStr">
        <is>
          <t>-</t>
        </is>
      </c>
      <c r="O57" s="12" t="inlineStr">
        <is>
          <t>なし</t>
        </is>
      </c>
      <c r="P57" s="12" t="inlineStr">
        <is>
          <t>-</t>
        </is>
      </c>
      <c r="Q57" s="12" t="inlineStr">
        <is>
          <t>-</t>
        </is>
      </c>
      <c r="R57" s="77" t="inlineStr">
        <is>
          <t>-</t>
        </is>
      </c>
      <c r="S57" s="1" t="inlineStr">
        <is>
          <t>-</t>
        </is>
      </c>
    </row>
    <row r="58" hidden="1" s="79">
      <c r="A58" s="74" t="n">
        <v>46135</v>
      </c>
      <c r="B58" s="12" t="inlineStr">
        <is>
          <t>人見</t>
        </is>
      </c>
      <c r="C58" s="20" t="inlineStr">
        <is>
          <t>-</t>
        </is>
      </c>
      <c r="D58" s="20" t="inlineStr">
        <is>
          <t>-</t>
        </is>
      </c>
      <c r="E58" s="20" t="inlineStr">
        <is>
          <t>-</t>
        </is>
      </c>
      <c r="F58" s="12" t="inlineStr">
        <is>
          <t>-</t>
        </is>
      </c>
      <c r="G58" s="12" t="inlineStr">
        <is>
          <t>-</t>
        </is>
      </c>
      <c r="H58" s="12" t="inlineStr">
        <is>
          <t>助手</t>
        </is>
      </c>
      <c r="I58" s="59" t="inlineStr">
        <is>
          <t>事務</t>
        </is>
      </c>
      <c r="J58" s="1" t="inlineStr">
        <is>
          <t>事務</t>
        </is>
      </c>
      <c r="K58" s="14" t="inlineStr">
        <is>
          <t>第一土木HP更新</t>
        </is>
      </c>
      <c r="L58" s="75" t="n">
        <v>1</v>
      </c>
      <c r="M58" s="12" t="inlineStr">
        <is>
          <t>なし</t>
        </is>
      </c>
      <c r="N58" s="76" t="inlineStr">
        <is>
          <t>-</t>
        </is>
      </c>
      <c r="O58" s="12" t="inlineStr">
        <is>
          <t>なし</t>
        </is>
      </c>
      <c r="P58" s="12" t="inlineStr">
        <is>
          <t>-</t>
        </is>
      </c>
      <c r="Q58" s="12" t="inlineStr">
        <is>
          <t>-</t>
        </is>
      </c>
      <c r="R58" s="77" t="inlineStr">
        <is>
          <t>-</t>
        </is>
      </c>
      <c r="S58" s="1" t="inlineStr">
        <is>
          <t>-</t>
        </is>
      </c>
    </row>
    <row r="59" hidden="1" s="79">
      <c r="A59" s="74" t="n">
        <v>46135</v>
      </c>
      <c r="B59" s="12" t="inlineStr">
        <is>
          <t>人見</t>
        </is>
      </c>
      <c r="C59" s="20" t="inlineStr">
        <is>
          <t>-</t>
        </is>
      </c>
      <c r="D59" s="20" t="inlineStr">
        <is>
          <t>-</t>
        </is>
      </c>
      <c r="E59" s="20" t="inlineStr">
        <is>
          <t>-</t>
        </is>
      </c>
      <c r="F59" s="12" t="inlineStr">
        <is>
          <t>-</t>
        </is>
      </c>
      <c r="G59" s="12" t="inlineStr">
        <is>
          <t>-</t>
        </is>
      </c>
      <c r="H59" s="12" t="inlineStr">
        <is>
          <t>助手</t>
        </is>
      </c>
      <c r="I59" s="59" t="inlineStr">
        <is>
          <t>事務</t>
        </is>
      </c>
      <c r="J59" s="1" t="inlineStr">
        <is>
          <t>事務</t>
        </is>
      </c>
      <c r="K59" s="14" t="inlineStr">
        <is>
          <t>アースHP更新</t>
        </is>
      </c>
      <c r="L59" s="75" t="n">
        <v>1</v>
      </c>
      <c r="M59" s="12" t="inlineStr">
        <is>
          <t>なし</t>
        </is>
      </c>
      <c r="N59" s="76" t="inlineStr">
        <is>
          <t>-</t>
        </is>
      </c>
      <c r="O59" s="12" t="inlineStr">
        <is>
          <t>なし</t>
        </is>
      </c>
      <c r="P59" s="12" t="inlineStr">
        <is>
          <t>-</t>
        </is>
      </c>
      <c r="Q59" s="12" t="inlineStr">
        <is>
          <t>-</t>
        </is>
      </c>
      <c r="R59" s="77" t="inlineStr">
        <is>
          <t>-</t>
        </is>
      </c>
      <c r="S59" s="1" t="inlineStr">
        <is>
          <t>-</t>
        </is>
      </c>
    </row>
    <row r="60" hidden="1" s="79">
      <c r="A60" s="74" t="n">
        <v>46135</v>
      </c>
      <c r="B60" s="12" t="inlineStr">
        <is>
          <t>人見</t>
        </is>
      </c>
      <c r="C60" s="20" t="inlineStr">
        <is>
          <t>-</t>
        </is>
      </c>
      <c r="D60" s="20" t="inlineStr">
        <is>
          <t>-</t>
        </is>
      </c>
      <c r="E60" s="20" t="inlineStr">
        <is>
          <t>-</t>
        </is>
      </c>
      <c r="F60" s="12" t="inlineStr">
        <is>
          <t>-</t>
        </is>
      </c>
      <c r="G60" s="12" t="inlineStr">
        <is>
          <t>-</t>
        </is>
      </c>
      <c r="H60" s="12" t="inlineStr">
        <is>
          <t>助手</t>
        </is>
      </c>
      <c r="I60" s="59" t="inlineStr">
        <is>
          <t>開発</t>
        </is>
      </c>
      <c r="J60" s="1" t="inlineStr">
        <is>
          <t>開発関係</t>
        </is>
      </c>
      <c r="K60" s="14" t="inlineStr">
        <is>
          <t>VPNの学習</t>
        </is>
      </c>
      <c r="L60" s="75" t="n">
        <v>1</v>
      </c>
      <c r="M60" s="12" t="inlineStr">
        <is>
          <t>なし</t>
        </is>
      </c>
      <c r="N60" s="76" t="inlineStr">
        <is>
          <t>-</t>
        </is>
      </c>
      <c r="O60" s="12" t="inlineStr">
        <is>
          <t>なし</t>
        </is>
      </c>
      <c r="P60" s="12" t="inlineStr">
        <is>
          <t>-</t>
        </is>
      </c>
      <c r="Q60" s="12" t="inlineStr">
        <is>
          <t>-</t>
        </is>
      </c>
      <c r="R60" s="77" t="inlineStr">
        <is>
          <t>-</t>
        </is>
      </c>
      <c r="S60" s="1" t="inlineStr">
        <is>
          <t>-</t>
        </is>
      </c>
    </row>
    <row r="61" hidden="1" s="79">
      <c r="A61" s="74" t="n">
        <v>46135</v>
      </c>
      <c r="B61" s="12" t="inlineStr">
        <is>
          <t>人見</t>
        </is>
      </c>
      <c r="C61" s="20" t="inlineStr">
        <is>
          <t>-</t>
        </is>
      </c>
      <c r="D61" s="20" t="inlineStr">
        <is>
          <t>-</t>
        </is>
      </c>
      <c r="E61" s="20" t="inlineStr">
        <is>
          <t>-</t>
        </is>
      </c>
      <c r="F61" s="12" t="inlineStr">
        <is>
          <t>-</t>
        </is>
      </c>
      <c r="G61" s="12" t="inlineStr">
        <is>
          <t>-</t>
        </is>
      </c>
      <c r="H61" s="12" t="inlineStr">
        <is>
          <t>助手</t>
        </is>
      </c>
      <c r="I61" s="59" t="inlineStr">
        <is>
          <t>開発</t>
        </is>
      </c>
      <c r="J61" s="1" t="inlineStr">
        <is>
          <t>開発関係</t>
        </is>
      </c>
      <c r="K61" s="14" t="inlineStr">
        <is>
          <t>MissionPlannnerEAのAndroid対応研究</t>
        </is>
      </c>
      <c r="L61" s="75" t="n">
        <v>3</v>
      </c>
      <c r="M61" s="12" t="inlineStr">
        <is>
          <t>なし</t>
        </is>
      </c>
      <c r="N61" s="76" t="inlineStr">
        <is>
          <t>-</t>
        </is>
      </c>
      <c r="O61" s="12" t="inlineStr">
        <is>
          <t>なし</t>
        </is>
      </c>
      <c r="P61" s="12" t="inlineStr">
        <is>
          <t>-</t>
        </is>
      </c>
      <c r="Q61" s="12" t="inlineStr">
        <is>
          <t>-</t>
        </is>
      </c>
      <c r="R61" s="77" t="inlineStr">
        <is>
          <t>-</t>
        </is>
      </c>
      <c r="S61" s="1" t="inlineStr">
        <is>
          <t>-</t>
        </is>
      </c>
    </row>
    <row r="62" hidden="1" s="79">
      <c r="A62" s="74" t="n">
        <v>46135</v>
      </c>
      <c r="B62" s="12" t="inlineStr">
        <is>
          <t>天野</t>
        </is>
      </c>
      <c r="C62" s="20" t="n">
        <v>0.3541666666666667</v>
      </c>
      <c r="D62" s="20" t="n">
        <v>0.7291666666666666</v>
      </c>
      <c r="E62" s="20" t="n">
        <v>0</v>
      </c>
      <c r="F62" s="12" t="inlineStr">
        <is>
          <t>本社</t>
        </is>
      </c>
      <c r="G62" s="12" t="inlineStr">
        <is>
          <t>本社</t>
        </is>
      </c>
      <c r="H62" s="12" t="inlineStr">
        <is>
          <t>助手</t>
        </is>
      </c>
      <c r="I62" s="59" t="inlineStr">
        <is>
          <t>開発</t>
        </is>
      </c>
      <c r="J62" s="1" t="inlineStr">
        <is>
          <t>開発関係</t>
        </is>
      </c>
      <c r="K62" s="14" t="inlineStr">
        <is>
          <t>打ち合わせ(人見さんが作ってくれたソフトの説明、錢高組 Revit講習の反省会)</t>
        </is>
      </c>
      <c r="L62" s="75" t="n">
        <v>2</v>
      </c>
      <c r="M62" s="12" t="inlineStr">
        <is>
          <t>なし</t>
        </is>
      </c>
      <c r="N62" s="76" t="inlineStr">
        <is>
          <t>-</t>
        </is>
      </c>
      <c r="O62" s="12" t="inlineStr">
        <is>
          <t>なし</t>
        </is>
      </c>
      <c r="P62" s="12" t="inlineStr">
        <is>
          <t>-</t>
        </is>
      </c>
      <c r="Q62" s="12" t="inlineStr">
        <is>
          <t>-</t>
        </is>
      </c>
      <c r="R62" s="77" t="inlineStr">
        <is>
          <t>-</t>
        </is>
      </c>
      <c r="S62" s="1" t="inlineStr">
        <is>
          <t>-</t>
        </is>
      </c>
    </row>
    <row r="63" hidden="1" s="79">
      <c r="A63" s="74" t="n">
        <v>46135</v>
      </c>
      <c r="B63" s="12" t="inlineStr">
        <is>
          <t>天野</t>
        </is>
      </c>
      <c r="C63" s="20" t="inlineStr">
        <is>
          <t>-</t>
        </is>
      </c>
      <c r="D63" s="20" t="inlineStr">
        <is>
          <t>-</t>
        </is>
      </c>
      <c r="E63" s="20" t="inlineStr">
        <is>
          <t>-</t>
        </is>
      </c>
      <c r="F63" s="12" t="inlineStr">
        <is>
          <t>-</t>
        </is>
      </c>
      <c r="G63" s="12" t="inlineStr">
        <is>
          <t>-</t>
        </is>
      </c>
      <c r="H63" s="12" t="inlineStr">
        <is>
          <t>助手</t>
        </is>
      </c>
      <c r="I63" s="59" t="inlineStr">
        <is>
          <t>研修</t>
        </is>
      </c>
      <c r="J63" s="1" t="inlineStr">
        <is>
          <t>研修</t>
        </is>
      </c>
      <c r="K63" s="14" t="inlineStr">
        <is>
          <t>Revit学習　樋門モデル作成</t>
        </is>
      </c>
      <c r="L63" s="75" t="n">
        <v>6</v>
      </c>
      <c r="M63" s="12" t="inlineStr">
        <is>
          <t>AUTODESK</t>
        </is>
      </c>
      <c r="N63" s="76" t="n">
        <v>1750</v>
      </c>
      <c r="O63" s="12" t="inlineStr">
        <is>
          <t>なし</t>
        </is>
      </c>
      <c r="P63" s="12" t="inlineStr">
        <is>
          <t>-</t>
        </is>
      </c>
      <c r="Q63" s="12" t="inlineStr">
        <is>
          <t>-</t>
        </is>
      </c>
      <c r="R63" s="77" t="inlineStr">
        <is>
          <t>-</t>
        </is>
      </c>
      <c r="S63" s="1" t="inlineStr">
        <is>
          <t>-</t>
        </is>
      </c>
    </row>
    <row r="64" hidden="1" s="79">
      <c r="A64" s="74" t="n">
        <v>46135</v>
      </c>
      <c r="B64" s="12" t="inlineStr">
        <is>
          <t>内藤</t>
        </is>
      </c>
      <c r="C64" s="20" t="inlineStr">
        <is>
          <t>-</t>
        </is>
      </c>
      <c r="D64" s="20" t="inlineStr">
        <is>
          <t>-</t>
        </is>
      </c>
      <c r="E64" s="20" t="inlineStr">
        <is>
          <t>-</t>
        </is>
      </c>
      <c r="F64" s="12" t="inlineStr">
        <is>
          <t>-</t>
        </is>
      </c>
      <c r="G64" s="12" t="inlineStr">
        <is>
          <t>-</t>
        </is>
      </c>
      <c r="H64" s="12" t="inlineStr">
        <is>
          <t>助手</t>
        </is>
      </c>
      <c r="I64" s="59" t="inlineStr">
        <is>
          <t>EA134</t>
        </is>
      </c>
      <c r="J64" s="1" t="inlineStr">
        <is>
          <t>教材作成</t>
        </is>
      </c>
      <c r="K64" s="14" t="inlineStr">
        <is>
          <t>錢高組　講習会の報告会など</t>
        </is>
      </c>
      <c r="L64" s="75" t="n">
        <v>2</v>
      </c>
      <c r="M64" s="12" t="inlineStr">
        <is>
          <t>なし</t>
        </is>
      </c>
      <c r="N64" s="76" t="inlineStr">
        <is>
          <t>-</t>
        </is>
      </c>
      <c r="O64" s="12" t="inlineStr">
        <is>
          <t>なし</t>
        </is>
      </c>
      <c r="P64" s="12" t="inlineStr">
        <is>
          <t>-</t>
        </is>
      </c>
      <c r="Q64" s="12" t="inlineStr">
        <is>
          <t>-</t>
        </is>
      </c>
      <c r="R64" s="77" t="inlineStr">
        <is>
          <t>-</t>
        </is>
      </c>
      <c r="S64" s="1" t="inlineStr">
        <is>
          <t>-</t>
        </is>
      </c>
    </row>
    <row r="65" hidden="1" s="79">
      <c r="A65" s="74" t="n">
        <v>46135</v>
      </c>
      <c r="B65" s="12" t="inlineStr">
        <is>
          <t>内藤</t>
        </is>
      </c>
      <c r="C65" s="20" t="inlineStr">
        <is>
          <t>-</t>
        </is>
      </c>
      <c r="D65" s="20" t="inlineStr">
        <is>
          <t>-</t>
        </is>
      </c>
      <c r="E65" s="20" t="inlineStr">
        <is>
          <t>-</t>
        </is>
      </c>
      <c r="F65" s="12" t="inlineStr">
        <is>
          <t>-</t>
        </is>
      </c>
      <c r="G65" s="12" t="inlineStr">
        <is>
          <t>-</t>
        </is>
      </c>
      <c r="H65" s="12" t="inlineStr">
        <is>
          <t>助手</t>
        </is>
      </c>
      <c r="I65" s="38" t="inlineStr">
        <is>
          <t>営業</t>
        </is>
      </c>
      <c r="J65" s="39" t="inlineStr">
        <is>
          <t>営業</t>
        </is>
      </c>
      <c r="K65" s="14" t="inlineStr">
        <is>
          <t>事業プランの検討</t>
        </is>
      </c>
      <c r="L65" s="75" t="n">
        <v>1</v>
      </c>
      <c r="M65" s="12" t="inlineStr">
        <is>
          <t>なし</t>
        </is>
      </c>
      <c r="N65" s="76" t="inlineStr">
        <is>
          <t>-</t>
        </is>
      </c>
      <c r="O65" s="12" t="inlineStr">
        <is>
          <t>なし</t>
        </is>
      </c>
      <c r="P65" s="12" t="inlineStr">
        <is>
          <t>-</t>
        </is>
      </c>
      <c r="Q65" s="12" t="inlineStr">
        <is>
          <t>-</t>
        </is>
      </c>
      <c r="R65" s="77" t="inlineStr">
        <is>
          <t>-</t>
        </is>
      </c>
      <c r="S65" s="1" t="inlineStr">
        <is>
          <t>-</t>
        </is>
      </c>
    </row>
    <row r="66" hidden="1" s="79">
      <c r="A66" s="74" t="n">
        <v>46135</v>
      </c>
      <c r="B66" s="12" t="inlineStr">
        <is>
          <t>内藤</t>
        </is>
      </c>
      <c r="C66" s="20" t="inlineStr">
        <is>
          <t>-</t>
        </is>
      </c>
      <c r="D66" s="20" t="inlineStr">
        <is>
          <t>-</t>
        </is>
      </c>
      <c r="E66" s="20" t="inlineStr">
        <is>
          <t>-</t>
        </is>
      </c>
      <c r="F66" s="12" t="inlineStr">
        <is>
          <t>-</t>
        </is>
      </c>
      <c r="G66" s="12" t="inlineStr">
        <is>
          <t>-</t>
        </is>
      </c>
      <c r="H66" s="12" t="inlineStr">
        <is>
          <t>助手</t>
        </is>
      </c>
      <c r="I66" s="59" t="inlineStr">
        <is>
          <t>EA157</t>
        </is>
      </c>
      <c r="J66" s="1" t="inlineStr">
        <is>
          <t>蛙ヶ谷基準点</t>
        </is>
      </c>
      <c r="K66" s="14" t="inlineStr">
        <is>
          <t>24日の計測準備</t>
        </is>
      </c>
      <c r="L66" s="75" t="n">
        <v>1</v>
      </c>
      <c r="M66" s="12" t="inlineStr">
        <is>
          <t>なし</t>
        </is>
      </c>
      <c r="N66" s="76" t="inlineStr">
        <is>
          <t>-</t>
        </is>
      </c>
      <c r="O66" s="12" t="inlineStr">
        <is>
          <t>なし</t>
        </is>
      </c>
      <c r="P66" s="12" t="inlineStr">
        <is>
          <t>-</t>
        </is>
      </c>
      <c r="Q66" s="12" t="inlineStr">
        <is>
          <t>-</t>
        </is>
      </c>
      <c r="R66" s="77" t="inlineStr">
        <is>
          <t>-</t>
        </is>
      </c>
      <c r="S66" s="1" t="inlineStr">
        <is>
          <t>-</t>
        </is>
      </c>
    </row>
    <row r="67" hidden="1" s="79">
      <c r="A67" s="74" t="n">
        <v>46135</v>
      </c>
      <c r="B67" s="12" t="inlineStr">
        <is>
          <t>バタイ</t>
        </is>
      </c>
      <c r="C67" s="20" t="n">
        <v>0.3125</v>
      </c>
      <c r="D67" s="20" t="n">
        <v>0.7083333333333334</v>
      </c>
      <c r="E67" s="20" t="n">
        <v>0.02083333333333333</v>
      </c>
      <c r="F67" s="12" t="inlineStr">
        <is>
          <t>本社</t>
        </is>
      </c>
      <c r="G67" s="12" t="inlineStr">
        <is>
          <t>本社</t>
        </is>
      </c>
      <c r="H67" s="12" t="inlineStr">
        <is>
          <t>助手</t>
        </is>
      </c>
      <c r="I67" s="12" t="inlineStr">
        <is>
          <t>研修</t>
        </is>
      </c>
      <c r="J67" s="12" t="inlineStr">
        <is>
          <t>研修</t>
        </is>
      </c>
      <c r="K67" s="14" t="inlineStr">
        <is>
          <t>REVITマニュアル作成</t>
        </is>
      </c>
      <c r="L67" s="75" t="n">
        <v>8</v>
      </c>
      <c r="M67" s="12" t="inlineStr">
        <is>
          <t>なし</t>
        </is>
      </c>
      <c r="N67" s="76" t="inlineStr">
        <is>
          <t>-</t>
        </is>
      </c>
      <c r="O67" s="12" t="inlineStr">
        <is>
          <t>なし</t>
        </is>
      </c>
      <c r="P67" s="12" t="inlineStr">
        <is>
          <t>-</t>
        </is>
      </c>
      <c r="Q67" s="12" t="inlineStr">
        <is>
          <t>-</t>
        </is>
      </c>
      <c r="R67" s="77" t="inlineStr">
        <is>
          <t>-</t>
        </is>
      </c>
      <c r="S67" s="1" t="inlineStr">
        <is>
          <t>-</t>
        </is>
      </c>
    </row>
    <row r="68" hidden="1" s="79">
      <c r="A68" s="74" t="n">
        <v>46135</v>
      </c>
      <c r="B68" s="12" t="inlineStr">
        <is>
          <t>仲</t>
        </is>
      </c>
      <c r="C68" s="20" t="n">
        <v>0.3541666666666667</v>
      </c>
      <c r="D68" s="20" t="n">
        <v>0.7291666666666666</v>
      </c>
      <c r="E68" s="20" t="n">
        <v>0</v>
      </c>
      <c r="F68" s="12" t="inlineStr">
        <is>
          <t>本社</t>
        </is>
      </c>
      <c r="G68" s="12" t="inlineStr">
        <is>
          <t>本社</t>
        </is>
      </c>
      <c r="H68" s="12" t="inlineStr">
        <is>
          <t>助手</t>
        </is>
      </c>
      <c r="I68" s="38" t="inlineStr">
        <is>
          <t>EA94</t>
        </is>
      </c>
      <c r="J68" s="39" t="inlineStr">
        <is>
          <t>なにわ筋</t>
        </is>
      </c>
      <c r="K68" s="14" t="inlineStr">
        <is>
          <t>UQWiFi手続き諸々</t>
        </is>
      </c>
      <c r="L68" s="75" t="n">
        <v>2</v>
      </c>
      <c r="M68" s="12" t="inlineStr">
        <is>
          <t>なし</t>
        </is>
      </c>
      <c r="N68" s="76" t="inlineStr">
        <is>
          <t>-</t>
        </is>
      </c>
      <c r="O68" s="12" t="inlineStr">
        <is>
          <t>なし</t>
        </is>
      </c>
      <c r="P68" s="12" t="inlineStr">
        <is>
          <t>-</t>
        </is>
      </c>
      <c r="Q68" s="12" t="inlineStr">
        <is>
          <t>-</t>
        </is>
      </c>
      <c r="R68" s="77" t="inlineStr">
        <is>
          <t>-</t>
        </is>
      </c>
      <c r="S68" s="1" t="inlineStr">
        <is>
          <t>-</t>
        </is>
      </c>
    </row>
    <row r="69" hidden="1" s="79">
      <c r="A69" s="74" t="n">
        <v>46135</v>
      </c>
      <c r="B69" s="12" t="inlineStr">
        <is>
          <t>仲</t>
        </is>
      </c>
      <c r="C69" s="20" t="inlineStr">
        <is>
          <t>-</t>
        </is>
      </c>
      <c r="D69" s="20" t="inlineStr">
        <is>
          <t>-</t>
        </is>
      </c>
      <c r="E69" s="20" t="inlineStr">
        <is>
          <t>-</t>
        </is>
      </c>
      <c r="F69" s="12" t="inlineStr">
        <is>
          <t>-</t>
        </is>
      </c>
      <c r="G69" s="12" t="inlineStr">
        <is>
          <t>-</t>
        </is>
      </c>
      <c r="H69" s="12" t="inlineStr">
        <is>
          <t>助手</t>
        </is>
      </c>
      <c r="I69" s="59" t="inlineStr">
        <is>
          <t>EA94</t>
        </is>
      </c>
      <c r="J69" s="1" t="inlineStr">
        <is>
          <t>なにわ筋</t>
        </is>
      </c>
      <c r="K69" s="14" t="inlineStr">
        <is>
          <t>KOLC+ラベル表示修正(EATAP)</t>
        </is>
      </c>
      <c r="L69" s="75" t="n">
        <v>4</v>
      </c>
      <c r="M69" s="12" t="inlineStr">
        <is>
          <t>なし</t>
        </is>
      </c>
      <c r="N69" s="76" t="inlineStr">
        <is>
          <t>-</t>
        </is>
      </c>
      <c r="O69" s="12" t="inlineStr">
        <is>
          <t>なし</t>
        </is>
      </c>
      <c r="P69" s="12" t="inlineStr">
        <is>
          <t>-</t>
        </is>
      </c>
      <c r="Q69" s="12" t="inlineStr">
        <is>
          <t>-</t>
        </is>
      </c>
      <c r="R69" s="77" t="inlineStr">
        <is>
          <t>-</t>
        </is>
      </c>
      <c r="S69" s="1" t="inlineStr">
        <is>
          <t>-</t>
        </is>
      </c>
    </row>
    <row r="70" hidden="1" s="79">
      <c r="A70" s="74" t="n">
        <v>46135</v>
      </c>
      <c r="B70" s="12" t="inlineStr">
        <is>
          <t>仲</t>
        </is>
      </c>
      <c r="C70" s="20" t="inlineStr">
        <is>
          <t>-</t>
        </is>
      </c>
      <c r="D70" s="20" t="inlineStr">
        <is>
          <t>-</t>
        </is>
      </c>
      <c r="E70" s="20" t="inlineStr">
        <is>
          <t>-</t>
        </is>
      </c>
      <c r="F70" s="12" t="inlineStr">
        <is>
          <t>-</t>
        </is>
      </c>
      <c r="G70" s="12" t="inlineStr">
        <is>
          <t>-</t>
        </is>
      </c>
      <c r="H70" s="12" t="inlineStr">
        <is>
          <t>助手</t>
        </is>
      </c>
      <c r="I70" s="12" t="inlineStr">
        <is>
          <t>EA157</t>
        </is>
      </c>
      <c r="J70" s="12" t="inlineStr">
        <is>
          <t>蛙ヶ谷基準点</t>
        </is>
      </c>
      <c r="K70" s="14" t="inlineStr">
        <is>
          <t>24日の計測準備</t>
        </is>
      </c>
      <c r="L70" s="75" t="n">
        <v>1</v>
      </c>
      <c r="M70" s="12" t="inlineStr">
        <is>
          <t>なし</t>
        </is>
      </c>
      <c r="N70" s="76" t="inlineStr">
        <is>
          <t>-</t>
        </is>
      </c>
      <c r="O70" s="12" t="inlineStr">
        <is>
          <t>なし</t>
        </is>
      </c>
      <c r="P70" s="12" t="inlineStr">
        <is>
          <t>-</t>
        </is>
      </c>
      <c r="Q70" s="12" t="inlineStr">
        <is>
          <t>-</t>
        </is>
      </c>
      <c r="R70" s="77" t="inlineStr">
        <is>
          <t>-</t>
        </is>
      </c>
      <c r="S70" s="1" t="inlineStr">
        <is>
          <t>-</t>
        </is>
      </c>
    </row>
    <row r="71" hidden="1" s="79">
      <c r="A71" s="74" t="n">
        <v>46135</v>
      </c>
      <c r="B71" s="12" t="inlineStr">
        <is>
          <t>仲</t>
        </is>
      </c>
      <c r="C71" s="20" t="inlineStr">
        <is>
          <t>-</t>
        </is>
      </c>
      <c r="D71" s="20" t="inlineStr">
        <is>
          <t>-</t>
        </is>
      </c>
      <c r="E71" s="20" t="inlineStr">
        <is>
          <t>-</t>
        </is>
      </c>
      <c r="F71" s="12" t="inlineStr">
        <is>
          <t>-</t>
        </is>
      </c>
      <c r="G71" s="12" t="inlineStr">
        <is>
          <t>-</t>
        </is>
      </c>
      <c r="H71" s="12" t="inlineStr">
        <is>
          <t>助手</t>
        </is>
      </c>
      <c r="I71" s="38" t="inlineStr">
        <is>
          <t>営業</t>
        </is>
      </c>
      <c r="J71" s="39" t="inlineStr">
        <is>
          <t>営業</t>
        </is>
      </c>
      <c r="K71" s="14" t="inlineStr">
        <is>
          <t>錢高組　講習会の報告会など</t>
        </is>
      </c>
      <c r="L71" s="75" t="n">
        <v>1</v>
      </c>
      <c r="M71" s="12" t="inlineStr">
        <is>
          <t>なし</t>
        </is>
      </c>
      <c r="N71" s="76" t="inlineStr">
        <is>
          <t>-</t>
        </is>
      </c>
      <c r="O71" s="12" t="inlineStr">
        <is>
          <t>なし</t>
        </is>
      </c>
      <c r="P71" s="12" t="inlineStr">
        <is>
          <t>-</t>
        </is>
      </c>
      <c r="Q71" s="12" t="inlineStr">
        <is>
          <t>-</t>
        </is>
      </c>
      <c r="R71" s="77" t="inlineStr">
        <is>
          <t>-</t>
        </is>
      </c>
      <c r="S71" s="1" t="inlineStr">
        <is>
          <t>-</t>
        </is>
      </c>
    </row>
    <row r="72" hidden="1" s="79">
      <c r="A72" s="74" t="n">
        <v>46135</v>
      </c>
      <c r="B72" s="12" t="inlineStr">
        <is>
          <t>竹本</t>
        </is>
      </c>
      <c r="C72" s="20" t="n">
        <v>0.3541666666666667</v>
      </c>
      <c r="D72" s="20" t="n">
        <v>0.7291666666666666</v>
      </c>
      <c r="E72" s="20" t="n">
        <v>0</v>
      </c>
      <c r="F72" s="12" t="inlineStr">
        <is>
          <t>現場</t>
        </is>
      </c>
      <c r="G72" s="12" t="inlineStr">
        <is>
          <t>現場</t>
        </is>
      </c>
      <c r="H72" s="12" t="inlineStr">
        <is>
          <t>技師</t>
        </is>
      </c>
      <c r="I72" s="38" t="inlineStr">
        <is>
          <t>EA156</t>
        </is>
      </c>
      <c r="J72" s="39" t="inlineStr">
        <is>
          <t>R7寺田拡幅</t>
        </is>
      </c>
      <c r="K72" s="14" t="inlineStr">
        <is>
          <t>測量計画図作成</t>
        </is>
      </c>
      <c r="L72" s="75" t="n">
        <v>8</v>
      </c>
      <c r="M72" s="12" t="inlineStr">
        <is>
          <t>武蔵</t>
        </is>
      </c>
      <c r="N72" s="76" t="n">
        <v>480</v>
      </c>
      <c r="O72" s="12" t="inlineStr">
        <is>
          <t>なし</t>
        </is>
      </c>
      <c r="P72" s="12" t="inlineStr">
        <is>
          <t>-</t>
        </is>
      </c>
      <c r="Q72" s="12" t="inlineStr">
        <is>
          <t>-</t>
        </is>
      </c>
      <c r="R72" s="77" t="inlineStr">
        <is>
          <t>-</t>
        </is>
      </c>
      <c r="S72" s="1" t="inlineStr">
        <is>
          <t>-</t>
        </is>
      </c>
      <c r="T72" s="1" t="inlineStr">
        <is>
          <t>南丹事務所にて</t>
        </is>
      </c>
    </row>
    <row r="73" hidden="1" s="79">
      <c r="A73" s="74" t="n">
        <v>46135</v>
      </c>
      <c r="B73" s="12" t="inlineStr">
        <is>
          <t>ズイ</t>
        </is>
      </c>
      <c r="C73" s="20" t="n">
        <v>0.3125</v>
      </c>
      <c r="D73" s="20" t="n">
        <v>0.7291666666666666</v>
      </c>
      <c r="E73" s="20" t="n">
        <v>0.04166666666666666</v>
      </c>
      <c r="F73" s="12" t="inlineStr">
        <is>
          <t>本社</t>
        </is>
      </c>
      <c r="G73" s="12" t="inlineStr">
        <is>
          <t>本社</t>
        </is>
      </c>
      <c r="H73" s="12" t="inlineStr">
        <is>
          <t>助手</t>
        </is>
      </c>
      <c r="I73" s="38" t="inlineStr">
        <is>
          <t>EA134</t>
        </is>
      </c>
      <c r="J73" s="39" t="inlineStr">
        <is>
          <t>教材作成</t>
        </is>
      </c>
      <c r="K73" s="14" t="inlineStr">
        <is>
          <t>Twinmotionによって施工ステップのガイドを作成</t>
        </is>
      </c>
      <c r="L73" s="75" t="n">
        <v>8.5</v>
      </c>
      <c r="M73" s="12" t="inlineStr">
        <is>
          <t>AUTODESK</t>
        </is>
      </c>
      <c r="N73" s="76" t="n">
        <v>1750</v>
      </c>
      <c r="O73" s="12" t="inlineStr">
        <is>
          <t>なし</t>
        </is>
      </c>
      <c r="P73" s="12" t="inlineStr">
        <is>
          <t>-</t>
        </is>
      </c>
      <c r="Q73" s="12" t="inlineStr">
        <is>
          <t>-</t>
        </is>
      </c>
      <c r="R73" s="77" t="inlineStr">
        <is>
          <t>-</t>
        </is>
      </c>
      <c r="S73" s="1" t="inlineStr">
        <is>
          <t>-</t>
        </is>
      </c>
    </row>
    <row r="74" hidden="1" s="79">
      <c r="A74" s="74" t="n">
        <v>46135</v>
      </c>
      <c r="B74" s="12" t="inlineStr">
        <is>
          <t>タイ</t>
        </is>
      </c>
      <c r="C74" s="20" t="n">
        <v>0.3541666666666667</v>
      </c>
      <c r="D74" s="20" t="n">
        <v>0.7291666666666666</v>
      </c>
      <c r="E74" s="20" t="n">
        <v>0</v>
      </c>
      <c r="F74" s="12" t="inlineStr">
        <is>
          <t>本社</t>
        </is>
      </c>
      <c r="G74" s="12" t="inlineStr">
        <is>
          <t>本社</t>
        </is>
      </c>
      <c r="H74" s="12" t="inlineStr">
        <is>
          <t>助手</t>
        </is>
      </c>
      <c r="I74" s="59" t="inlineStr">
        <is>
          <t>VT01</t>
        </is>
      </c>
      <c r="J74" s="1" t="inlineStr">
        <is>
          <t>駐在所</t>
        </is>
      </c>
      <c r="K74" s="14" t="inlineStr">
        <is>
          <t>ベトナムオンライン</t>
        </is>
      </c>
      <c r="L74" s="75" t="n">
        <v>0.5</v>
      </c>
      <c r="M74" s="12" t="inlineStr">
        <is>
          <t>なし</t>
        </is>
      </c>
      <c r="N74" s="76" t="inlineStr">
        <is>
          <t>-</t>
        </is>
      </c>
      <c r="O74" s="12" t="inlineStr">
        <is>
          <t>なし</t>
        </is>
      </c>
      <c r="P74" s="12" t="inlineStr">
        <is>
          <t>-</t>
        </is>
      </c>
      <c r="Q74" s="12" t="inlineStr">
        <is>
          <t>-</t>
        </is>
      </c>
      <c r="R74" s="77" t="inlineStr">
        <is>
          <t>-</t>
        </is>
      </c>
      <c r="S74" s="1" t="inlineStr">
        <is>
          <t>-</t>
        </is>
      </c>
    </row>
    <row r="75" hidden="1" s="79">
      <c r="A75" s="74" t="n">
        <v>46135</v>
      </c>
      <c r="B75" s="12" t="inlineStr">
        <is>
          <t>タイ</t>
        </is>
      </c>
      <c r="C75" s="20" t="inlineStr">
        <is>
          <t>-</t>
        </is>
      </c>
      <c r="D75" s="20" t="inlineStr">
        <is>
          <t>-</t>
        </is>
      </c>
      <c r="E75" s="20" t="inlineStr">
        <is>
          <t>-</t>
        </is>
      </c>
      <c r="F75" s="12" t="inlineStr">
        <is>
          <t>-</t>
        </is>
      </c>
      <c r="G75" s="12" t="inlineStr">
        <is>
          <t>-</t>
        </is>
      </c>
      <c r="H75" s="12" t="inlineStr">
        <is>
          <t>助手</t>
        </is>
      </c>
      <c r="I75" s="59" t="inlineStr">
        <is>
          <t>開発</t>
        </is>
      </c>
      <c r="J75" s="1" t="inlineStr">
        <is>
          <t>開発関係</t>
        </is>
      </c>
      <c r="K75" s="14" t="inlineStr">
        <is>
          <t>打ち合わせ(人見さんが作ってくれたソフトの説明、錢高組 Revit講習の反省会)</t>
        </is>
      </c>
      <c r="L75" s="75" t="n">
        <v>2</v>
      </c>
      <c r="M75" s="12" t="inlineStr">
        <is>
          <t>なし</t>
        </is>
      </c>
      <c r="N75" s="76" t="inlineStr">
        <is>
          <t>-</t>
        </is>
      </c>
      <c r="O75" s="12" t="inlineStr">
        <is>
          <t>なし</t>
        </is>
      </c>
      <c r="P75" s="12" t="inlineStr">
        <is>
          <t>-</t>
        </is>
      </c>
      <c r="Q75" s="12" t="inlineStr">
        <is>
          <t>-</t>
        </is>
      </c>
      <c r="R75" s="77" t="inlineStr">
        <is>
          <t>-</t>
        </is>
      </c>
      <c r="S75" s="1" t="inlineStr">
        <is>
          <t>-</t>
        </is>
      </c>
    </row>
    <row r="76" hidden="1" s="79">
      <c r="A76" s="74" t="n">
        <v>46135</v>
      </c>
      <c r="B76" s="12" t="inlineStr">
        <is>
          <t>タイ</t>
        </is>
      </c>
      <c r="C76" s="20" t="inlineStr">
        <is>
          <t>-</t>
        </is>
      </c>
      <c r="D76" s="20" t="inlineStr">
        <is>
          <t>-</t>
        </is>
      </c>
      <c r="E76" s="20" t="inlineStr">
        <is>
          <t>-</t>
        </is>
      </c>
      <c r="F76" s="12" t="inlineStr">
        <is>
          <t>-</t>
        </is>
      </c>
      <c r="G76" s="12" t="inlineStr">
        <is>
          <t>-</t>
        </is>
      </c>
      <c r="H76" s="12" t="inlineStr">
        <is>
          <t>助手</t>
        </is>
      </c>
      <c r="I76" s="59" t="inlineStr">
        <is>
          <t>EA156</t>
        </is>
      </c>
      <c r="J76" s="1" t="inlineStr">
        <is>
          <t>R7寺田拡幅</t>
        </is>
      </c>
      <c r="K76" s="14" t="inlineStr">
        <is>
          <t>寺田拡幅交差点の3Dモデル作成</t>
        </is>
      </c>
      <c r="L76" s="75" t="n">
        <v>5.5</v>
      </c>
      <c r="M76" s="12" t="inlineStr">
        <is>
          <t>AUTODESK</t>
        </is>
      </c>
      <c r="N76" s="76" t="n">
        <v>1750</v>
      </c>
      <c r="O76" s="12" t="inlineStr">
        <is>
          <t>なし</t>
        </is>
      </c>
      <c r="P76" s="12" t="inlineStr">
        <is>
          <t>-</t>
        </is>
      </c>
      <c r="Q76" s="12" t="inlineStr">
        <is>
          <t>-</t>
        </is>
      </c>
      <c r="R76" s="77" t="inlineStr">
        <is>
          <t>-</t>
        </is>
      </c>
      <c r="S76" s="1" t="inlineStr">
        <is>
          <t>-</t>
        </is>
      </c>
    </row>
    <row r="77" hidden="1" s="79">
      <c r="A77" s="74" t="n">
        <v>46135</v>
      </c>
      <c r="B77" s="12" t="inlineStr">
        <is>
          <t>南</t>
        </is>
      </c>
      <c r="C77" s="20" t="n">
        <v>0.3541666666666667</v>
      </c>
      <c r="D77" s="20" t="n">
        <v>0.7291666666666666</v>
      </c>
      <c r="E77" s="20" t="n">
        <v>0</v>
      </c>
      <c r="F77" s="12" t="inlineStr">
        <is>
          <t>本社</t>
        </is>
      </c>
      <c r="G77" s="12" t="inlineStr">
        <is>
          <t>本社</t>
        </is>
      </c>
      <c r="H77" s="12" t="inlineStr">
        <is>
          <t>助手</t>
        </is>
      </c>
      <c r="I77" s="59" t="inlineStr">
        <is>
          <t>開発</t>
        </is>
      </c>
      <c r="J77" s="1" t="inlineStr">
        <is>
          <t>開発関係</t>
        </is>
      </c>
      <c r="K77" s="14" t="inlineStr">
        <is>
          <t>打ち合わせ(VPN解説、錢高組 Revit講習の反省会)</t>
        </is>
      </c>
      <c r="L77" s="75" t="n">
        <v>2</v>
      </c>
      <c r="M77" s="12" t="inlineStr">
        <is>
          <t>なし</t>
        </is>
      </c>
      <c r="N77" s="76" t="inlineStr">
        <is>
          <t>-</t>
        </is>
      </c>
      <c r="O77" s="12" t="inlineStr">
        <is>
          <t>なし</t>
        </is>
      </c>
      <c r="P77" s="12" t="inlineStr">
        <is>
          <t>-</t>
        </is>
      </c>
      <c r="Q77" s="12" t="inlineStr">
        <is>
          <t>-</t>
        </is>
      </c>
      <c r="R77" s="77" t="inlineStr">
        <is>
          <t>-</t>
        </is>
      </c>
      <c r="S77" s="1" t="inlineStr">
        <is>
          <t>-</t>
        </is>
      </c>
    </row>
    <row r="78" hidden="1" s="79">
      <c r="A78" s="74" t="n">
        <v>46135</v>
      </c>
      <c r="B78" s="12" t="inlineStr">
        <is>
          <t>南</t>
        </is>
      </c>
      <c r="C78" s="20" t="inlineStr">
        <is>
          <t>-</t>
        </is>
      </c>
      <c r="D78" s="20" t="inlineStr">
        <is>
          <t>-</t>
        </is>
      </c>
      <c r="E78" s="20" t="inlineStr">
        <is>
          <t>-</t>
        </is>
      </c>
      <c r="F78" s="12" t="inlineStr">
        <is>
          <t>-</t>
        </is>
      </c>
      <c r="G78" s="12" t="inlineStr">
        <is>
          <t>-</t>
        </is>
      </c>
      <c r="H78" s="12" t="inlineStr">
        <is>
          <t>助手</t>
        </is>
      </c>
      <c r="I78" s="59" t="inlineStr">
        <is>
          <t>営業</t>
        </is>
      </c>
      <c r="J78" s="1" t="inlineStr">
        <is>
          <t>営業</t>
        </is>
      </c>
      <c r="K78" s="14" t="inlineStr">
        <is>
          <t>9号バックパック式計測の動画編集</t>
        </is>
      </c>
      <c r="L78" s="75" t="n">
        <v>6</v>
      </c>
      <c r="M78" s="12" t="inlineStr">
        <is>
          <t>なし</t>
        </is>
      </c>
      <c r="N78" s="76" t="inlineStr">
        <is>
          <t>-</t>
        </is>
      </c>
      <c r="O78" s="12" t="inlineStr">
        <is>
          <t>なし</t>
        </is>
      </c>
      <c r="P78" s="12" t="inlineStr">
        <is>
          <t>-</t>
        </is>
      </c>
      <c r="Q78" s="12" t="inlineStr">
        <is>
          <t>-</t>
        </is>
      </c>
      <c r="R78" s="77" t="inlineStr">
        <is>
          <t>-</t>
        </is>
      </c>
      <c r="S78" s="1" t="inlineStr">
        <is>
          <t>-</t>
        </is>
      </c>
    </row>
    <row r="79" hidden="1" s="79">
      <c r="A79" s="74" t="n">
        <v>46134</v>
      </c>
      <c r="B79" s="12" t="inlineStr">
        <is>
          <t>千原</t>
        </is>
      </c>
      <c r="C79" s="20" t="n">
        <v>0.3541666666666667</v>
      </c>
      <c r="D79" s="20" t="n">
        <v>0.7291666666666666</v>
      </c>
      <c r="E79" s="20" t="n">
        <v>0</v>
      </c>
      <c r="F79" s="12" t="inlineStr">
        <is>
          <t>リモート</t>
        </is>
      </c>
      <c r="G79" s="12" t="inlineStr">
        <is>
          <t>リモート</t>
        </is>
      </c>
      <c r="H79" s="12" t="inlineStr">
        <is>
          <t>助手</t>
        </is>
      </c>
      <c r="I79" s="14" t="inlineStr">
        <is>
          <t>研修</t>
        </is>
      </c>
      <c r="J79" s="12" t="inlineStr">
        <is>
          <t>研修</t>
        </is>
      </c>
      <c r="K79" s="14" t="inlineStr">
        <is>
          <t>Autodesk操作資料テンプレート作成・編集説明書作成</t>
        </is>
      </c>
      <c r="L79" s="75" t="n">
        <v>8</v>
      </c>
      <c r="M79" s="12" t="inlineStr">
        <is>
          <t>なし</t>
        </is>
      </c>
      <c r="N79" s="76" t="inlineStr">
        <is>
          <t>-</t>
        </is>
      </c>
      <c r="O79" s="12" t="inlineStr">
        <is>
          <t>なし</t>
        </is>
      </c>
      <c r="P79" s="12" t="inlineStr">
        <is>
          <t>-</t>
        </is>
      </c>
      <c r="Q79" s="12" t="inlineStr">
        <is>
          <t>-</t>
        </is>
      </c>
      <c r="R79" s="77" t="inlineStr">
        <is>
          <t>-</t>
        </is>
      </c>
      <c r="S79" s="1" t="inlineStr">
        <is>
          <t>-</t>
        </is>
      </c>
    </row>
    <row r="80" hidden="1" s="79">
      <c r="A80" s="74" t="n">
        <v>46135</v>
      </c>
      <c r="B80" s="12" t="inlineStr">
        <is>
          <t>千原</t>
        </is>
      </c>
      <c r="C80" s="20" t="n">
        <v>0.4166666666666667</v>
      </c>
      <c r="D80" s="20" t="n">
        <v>0.7916666666666666</v>
      </c>
      <c r="E80" s="20" t="n">
        <v>0.0625</v>
      </c>
      <c r="F80" s="12" t="inlineStr">
        <is>
          <t>リモート</t>
        </is>
      </c>
      <c r="G80" s="12" t="inlineStr">
        <is>
          <t>リモート</t>
        </is>
      </c>
      <c r="H80" s="12" t="inlineStr">
        <is>
          <t>助手</t>
        </is>
      </c>
      <c r="I80" s="14" t="inlineStr">
        <is>
          <t>研修</t>
        </is>
      </c>
      <c r="J80" s="12" t="inlineStr">
        <is>
          <t>研修</t>
        </is>
      </c>
      <c r="K80" s="14" t="inlineStr">
        <is>
          <t>Autodesk操作資料テンプレート作成・編集説明書作成</t>
        </is>
      </c>
      <c r="L80" s="75" t="n">
        <v>8</v>
      </c>
      <c r="M80" s="12" t="inlineStr">
        <is>
          <t>なし</t>
        </is>
      </c>
      <c r="N80" s="76" t="inlineStr">
        <is>
          <t>-</t>
        </is>
      </c>
      <c r="O80" s="12" t="inlineStr">
        <is>
          <t>なし</t>
        </is>
      </c>
      <c r="P80" s="12" t="inlineStr">
        <is>
          <t>-</t>
        </is>
      </c>
      <c r="Q80" s="12" t="inlineStr">
        <is>
          <t>-</t>
        </is>
      </c>
      <c r="R80" s="77" t="inlineStr">
        <is>
          <t>-</t>
        </is>
      </c>
      <c r="S80" s="1" t="inlineStr">
        <is>
          <t>-</t>
        </is>
      </c>
    </row>
    <row r="81">
      <c r="A81" s="74" t="n">
        <v>46136</v>
      </c>
      <c r="B81" s="12" t="inlineStr">
        <is>
          <t>内藤</t>
        </is>
      </c>
      <c r="C81" s="20" t="n">
        <v>0.3541666666666667</v>
      </c>
      <c r="D81" s="20" t="n">
        <v>0.7291666666666666</v>
      </c>
      <c r="E81" s="20" t="n">
        <v>0</v>
      </c>
      <c r="F81" s="12" t="inlineStr">
        <is>
          <t>本社</t>
        </is>
      </c>
      <c r="G81" s="12" t="inlineStr">
        <is>
          <t>本社</t>
        </is>
      </c>
      <c r="H81" s="12" t="inlineStr">
        <is>
          <t>助手</t>
        </is>
      </c>
      <c r="I81" s="59" t="inlineStr">
        <is>
          <t>EA157</t>
        </is>
      </c>
      <c r="J81" s="1" t="inlineStr">
        <is>
          <t>蛙ヶ谷基準点</t>
        </is>
      </c>
      <c r="K81" s="14" t="inlineStr">
        <is>
          <t>基準点測量(新点6点の設置と既知点3点の点検測量)</t>
        </is>
      </c>
      <c r="L81" s="75" t="n">
        <v>6.5</v>
      </c>
      <c r="M81" s="12" t="inlineStr">
        <is>
          <t>なし</t>
        </is>
      </c>
      <c r="N81" s="76" t="inlineStr">
        <is>
          <t>-</t>
        </is>
      </c>
      <c r="O81" s="12" t="inlineStr">
        <is>
          <t>ステップワゴン</t>
        </is>
      </c>
      <c r="P81" s="12" t="inlineStr">
        <is>
          <t>本社</t>
        </is>
      </c>
      <c r="Q81" s="12" t="inlineStr">
        <is>
          <t>現場</t>
        </is>
      </c>
      <c r="R81" s="77" t="n">
        <v>10</v>
      </c>
      <c r="S81" s="1" t="inlineStr">
        <is>
          <t>下道</t>
        </is>
      </c>
      <c r="T81" s="1" t="inlineStr">
        <is>
          <t>実質作業時間は5.0</t>
        </is>
      </c>
    </row>
    <row r="82">
      <c r="A82" s="74" t="n">
        <v>46136</v>
      </c>
      <c r="B82" s="12" t="inlineStr">
        <is>
          <t>フック</t>
        </is>
      </c>
      <c r="C82" s="20" t="n">
        <v>0.3541666666666667</v>
      </c>
      <c r="D82" s="20" t="n">
        <v>0.7291666666666666</v>
      </c>
      <c r="E82" s="20" t="n">
        <v>0</v>
      </c>
      <c r="F82" s="12" t="inlineStr">
        <is>
          <t>本社</t>
        </is>
      </c>
      <c r="G82" s="12" t="inlineStr">
        <is>
          <t>本社</t>
        </is>
      </c>
      <c r="H82" s="12" t="inlineStr">
        <is>
          <t>助手</t>
        </is>
      </c>
      <c r="I82" s="14" t="inlineStr">
        <is>
          <t>RD28</t>
        </is>
      </c>
      <c r="J82" s="12" t="inlineStr">
        <is>
          <t>小型ドローン</t>
        </is>
      </c>
      <c r="K82" s="14" t="inlineStr">
        <is>
          <t>部品の配置をシミュレーション</t>
        </is>
      </c>
      <c r="L82" s="75" t="n">
        <v>8</v>
      </c>
      <c r="M82" s="12" t="inlineStr">
        <is>
          <t>AUTODESK</t>
        </is>
      </c>
      <c r="N82" s="76" t="n">
        <v>1750</v>
      </c>
      <c r="O82" s="12" t="inlineStr">
        <is>
          <t>なし</t>
        </is>
      </c>
      <c r="P82" s="12" t="inlineStr">
        <is>
          <t>-</t>
        </is>
      </c>
      <c r="Q82" s="12" t="inlineStr">
        <is>
          <t>-</t>
        </is>
      </c>
      <c r="R82" s="77" t="inlineStr">
        <is>
          <t>-</t>
        </is>
      </c>
      <c r="S82" s="1" t="inlineStr">
        <is>
          <t>-</t>
        </is>
      </c>
    </row>
    <row r="83">
      <c r="A83" s="74" t="n">
        <v>46136</v>
      </c>
      <c r="B83" s="12" t="inlineStr">
        <is>
          <t>内藤</t>
        </is>
      </c>
      <c r="C83" s="20" t="inlineStr">
        <is>
          <t>-</t>
        </is>
      </c>
      <c r="D83" s="20" t="inlineStr">
        <is>
          <t>-</t>
        </is>
      </c>
      <c r="E83" s="20" t="inlineStr">
        <is>
          <t>-</t>
        </is>
      </c>
      <c r="F83" s="12" t="inlineStr">
        <is>
          <t>-</t>
        </is>
      </c>
      <c r="G83" s="12" t="inlineStr">
        <is>
          <t>-</t>
        </is>
      </c>
      <c r="H83" s="12" t="inlineStr">
        <is>
          <t>助手</t>
        </is>
      </c>
      <c r="I83" s="14" t="inlineStr">
        <is>
          <t>EA105</t>
        </is>
      </c>
      <c r="J83" s="12" t="inlineStr">
        <is>
          <t>鳥居水門</t>
        </is>
      </c>
      <c r="K83" s="14" t="inlineStr">
        <is>
          <t>統合モデルへの問合せに対応</t>
        </is>
      </c>
      <c r="L83" s="75" t="n">
        <v>0.5</v>
      </c>
      <c r="M83" s="12" t="inlineStr">
        <is>
          <t>なし</t>
        </is>
      </c>
      <c r="N83" s="76" t="inlineStr">
        <is>
          <t>-</t>
        </is>
      </c>
      <c r="O83" s="12" t="inlineStr">
        <is>
          <t>なし</t>
        </is>
      </c>
      <c r="P83" s="12" t="inlineStr">
        <is>
          <t>-</t>
        </is>
      </c>
      <c r="Q83" s="12" t="inlineStr">
        <is>
          <t>-</t>
        </is>
      </c>
      <c r="R83" s="77" t="inlineStr">
        <is>
          <t>-</t>
        </is>
      </c>
      <c r="S83" s="1" t="inlineStr">
        <is>
          <t>-</t>
        </is>
      </c>
    </row>
    <row r="84">
      <c r="A84" s="74" t="n">
        <v>46136</v>
      </c>
      <c r="B84" s="12" t="inlineStr">
        <is>
          <t>内藤</t>
        </is>
      </c>
      <c r="C84" s="20" t="inlineStr">
        <is>
          <t>-</t>
        </is>
      </c>
      <c r="D84" s="20" t="inlineStr">
        <is>
          <t>-</t>
        </is>
      </c>
      <c r="E84" s="20" t="inlineStr">
        <is>
          <t>-</t>
        </is>
      </c>
      <c r="F84" s="12" t="inlineStr">
        <is>
          <t>-</t>
        </is>
      </c>
      <c r="G84" s="12" t="inlineStr">
        <is>
          <t>-</t>
        </is>
      </c>
      <c r="H84" s="12" t="inlineStr">
        <is>
          <t>助手</t>
        </is>
      </c>
      <c r="I84" s="38" t="inlineStr">
        <is>
          <t>EA149</t>
        </is>
      </c>
      <c r="J84" s="39" t="inlineStr">
        <is>
          <t>呑龍ポンプ場</t>
        </is>
      </c>
      <c r="K84" s="38" t="inlineStr">
        <is>
          <t>見学会資料の編集更新</t>
        </is>
      </c>
      <c r="L84" s="75" t="n">
        <v>1</v>
      </c>
      <c r="M84" s="12" t="inlineStr">
        <is>
          <t>なし</t>
        </is>
      </c>
      <c r="N84" s="76" t="inlineStr">
        <is>
          <t>-</t>
        </is>
      </c>
      <c r="O84" s="12" t="inlineStr">
        <is>
          <t>なし</t>
        </is>
      </c>
      <c r="P84" s="12" t="inlineStr">
        <is>
          <t>-</t>
        </is>
      </c>
      <c r="Q84" s="12" t="inlineStr">
        <is>
          <t>-</t>
        </is>
      </c>
      <c r="R84" s="77" t="inlineStr">
        <is>
          <t>-</t>
        </is>
      </c>
      <c r="S84" s="1" t="inlineStr">
        <is>
          <t>-</t>
        </is>
      </c>
    </row>
    <row r="85">
      <c r="A85" s="74" t="n">
        <v>46136</v>
      </c>
      <c r="B85" s="12" t="inlineStr">
        <is>
          <t>村上</t>
        </is>
      </c>
      <c r="C85" s="20" t="n">
        <v>0.3541666666666667</v>
      </c>
      <c r="D85" s="20" t="n">
        <v>0.7291666666666666</v>
      </c>
      <c r="E85" s="20" t="n">
        <v>0</v>
      </c>
      <c r="F85" s="12" t="inlineStr">
        <is>
          <t>本社</t>
        </is>
      </c>
      <c r="G85" s="12" t="inlineStr">
        <is>
          <t>本社</t>
        </is>
      </c>
      <c r="H85" s="12" t="inlineStr">
        <is>
          <t>助手</t>
        </is>
      </c>
      <c r="I85" s="38" t="inlineStr">
        <is>
          <t>事務</t>
        </is>
      </c>
      <c r="J85" s="39" t="inlineStr">
        <is>
          <t>事務</t>
        </is>
      </c>
      <c r="K85" s="14" t="inlineStr">
        <is>
          <t>CPDS実施登録、請負一覧更新、出面表調整、メール対応、セミナー調査、押印・郵送対応他</t>
        </is>
      </c>
      <c r="L85" s="75" t="n">
        <v>8</v>
      </c>
      <c r="M85" s="12" t="inlineStr">
        <is>
          <t>なし</t>
        </is>
      </c>
      <c r="N85" s="76" t="inlineStr">
        <is>
          <t>-</t>
        </is>
      </c>
      <c r="O85" s="12" t="inlineStr">
        <is>
          <t>なし</t>
        </is>
      </c>
      <c r="P85" s="12" t="inlineStr">
        <is>
          <t>-</t>
        </is>
      </c>
      <c r="Q85" s="12" t="inlineStr">
        <is>
          <t>-</t>
        </is>
      </c>
      <c r="R85" s="77" t="inlineStr">
        <is>
          <t>-</t>
        </is>
      </c>
      <c r="S85" s="1" t="inlineStr">
        <is>
          <t>-</t>
        </is>
      </c>
    </row>
    <row r="86">
      <c r="A86" s="74" t="n">
        <v>46136</v>
      </c>
      <c r="B86" s="12" t="inlineStr">
        <is>
          <t>人見</t>
        </is>
      </c>
      <c r="C86" s="20" t="n">
        <v>0.3541666666666667</v>
      </c>
      <c r="D86" s="20" t="n">
        <v>0.7291666666666666</v>
      </c>
      <c r="E86" s="20" t="n">
        <v>0</v>
      </c>
      <c r="F86" s="12" t="inlineStr">
        <is>
          <t>本社</t>
        </is>
      </c>
      <c r="G86" s="12" t="inlineStr">
        <is>
          <t>本社</t>
        </is>
      </c>
      <c r="H86" s="12" t="inlineStr">
        <is>
          <t>助手</t>
        </is>
      </c>
      <c r="I86" s="38" t="inlineStr">
        <is>
          <t>研修</t>
        </is>
      </c>
      <c r="J86" s="39" t="inlineStr">
        <is>
          <t>研修</t>
        </is>
      </c>
      <c r="K86" s="14" t="inlineStr">
        <is>
          <t>「測量士補試験」初学者向け対策基礎講座 受講</t>
        </is>
      </c>
      <c r="L86" s="75" t="n">
        <v>1</v>
      </c>
      <c r="M86" s="12" t="inlineStr">
        <is>
          <t>なし</t>
        </is>
      </c>
      <c r="N86" s="76" t="inlineStr">
        <is>
          <t>-</t>
        </is>
      </c>
      <c r="O86" s="12" t="inlineStr">
        <is>
          <t>なし</t>
        </is>
      </c>
      <c r="P86" s="12" t="inlineStr">
        <is>
          <t>-</t>
        </is>
      </c>
      <c r="Q86" s="12" t="inlineStr">
        <is>
          <t>-</t>
        </is>
      </c>
      <c r="R86" s="77" t="inlineStr">
        <is>
          <t>-</t>
        </is>
      </c>
      <c r="S86" s="1" t="inlineStr">
        <is>
          <t>-</t>
        </is>
      </c>
    </row>
    <row r="87">
      <c r="A87" s="74" t="n">
        <v>46136</v>
      </c>
      <c r="B87" s="12" t="inlineStr">
        <is>
          <t>人見</t>
        </is>
      </c>
      <c r="C87" s="20" t="inlineStr">
        <is>
          <t>-</t>
        </is>
      </c>
      <c r="D87" s="20" t="inlineStr">
        <is>
          <t>-</t>
        </is>
      </c>
      <c r="E87" s="20" t="inlineStr">
        <is>
          <t>-</t>
        </is>
      </c>
      <c r="F87" s="12" t="inlineStr">
        <is>
          <t>-</t>
        </is>
      </c>
      <c r="G87" s="12" t="inlineStr">
        <is>
          <t>-</t>
        </is>
      </c>
      <c r="H87" s="12" t="inlineStr">
        <is>
          <t>助手</t>
        </is>
      </c>
      <c r="I87" s="59" t="inlineStr">
        <is>
          <t>開発</t>
        </is>
      </c>
      <c r="J87" s="1" t="inlineStr">
        <is>
          <t>開発関係</t>
        </is>
      </c>
      <c r="K87" s="14" t="inlineStr">
        <is>
          <t>StaffSOIのVPN化の考察と資料の作成</t>
        </is>
      </c>
      <c r="L87" s="75" t="n">
        <v>6</v>
      </c>
      <c r="M87" s="12" t="inlineStr">
        <is>
          <t>なし</t>
        </is>
      </c>
      <c r="N87" s="76" t="inlineStr">
        <is>
          <t>-</t>
        </is>
      </c>
      <c r="O87" s="12" t="inlineStr">
        <is>
          <t>なし</t>
        </is>
      </c>
      <c r="P87" s="12" t="inlineStr">
        <is>
          <t>-</t>
        </is>
      </c>
      <c r="Q87" s="12" t="inlineStr">
        <is>
          <t>-</t>
        </is>
      </c>
      <c r="R87" s="77" t="inlineStr">
        <is>
          <t>-</t>
        </is>
      </c>
      <c r="S87" s="1" t="inlineStr">
        <is>
          <t>-</t>
        </is>
      </c>
    </row>
    <row r="88">
      <c r="A88" s="74" t="n">
        <v>46136</v>
      </c>
      <c r="B88" s="12" t="inlineStr">
        <is>
          <t>人見</t>
        </is>
      </c>
      <c r="C88" s="20" t="inlineStr">
        <is>
          <t>-</t>
        </is>
      </c>
      <c r="D88" s="20" t="inlineStr">
        <is>
          <t>-</t>
        </is>
      </c>
      <c r="E88" s="20" t="inlineStr">
        <is>
          <t>-</t>
        </is>
      </c>
      <c r="F88" s="12" t="inlineStr">
        <is>
          <t>-</t>
        </is>
      </c>
      <c r="G88" s="12" t="inlineStr">
        <is>
          <t>-</t>
        </is>
      </c>
      <c r="H88" s="12" t="inlineStr">
        <is>
          <t>助手</t>
        </is>
      </c>
      <c r="I88" s="59" t="inlineStr">
        <is>
          <t>EA94</t>
        </is>
      </c>
      <c r="J88" s="1" t="inlineStr">
        <is>
          <t>なにわ筋</t>
        </is>
      </c>
      <c r="K88" s="14" t="inlineStr">
        <is>
          <t>WoL発信のシステム考察</t>
        </is>
      </c>
      <c r="L88" s="75" t="n">
        <v>1</v>
      </c>
      <c r="M88" s="12" t="inlineStr">
        <is>
          <t>なし</t>
        </is>
      </c>
      <c r="N88" s="76" t="inlineStr">
        <is>
          <t>-</t>
        </is>
      </c>
      <c r="O88" s="12" t="inlineStr">
        <is>
          <t>なし</t>
        </is>
      </c>
      <c r="P88" s="12" t="inlineStr">
        <is>
          <t>-</t>
        </is>
      </c>
      <c r="Q88" s="12" t="inlineStr">
        <is>
          <t>-</t>
        </is>
      </c>
      <c r="R88" s="77" t="inlineStr">
        <is>
          <t>-</t>
        </is>
      </c>
      <c r="S88" s="1" t="inlineStr">
        <is>
          <t>-</t>
        </is>
      </c>
    </row>
    <row r="89">
      <c r="A89" s="74" t="n">
        <v>46136</v>
      </c>
      <c r="B89" s="12" t="inlineStr">
        <is>
          <t>天野</t>
        </is>
      </c>
      <c r="C89" s="20" t="n">
        <v>0.3541666666666667</v>
      </c>
      <c r="D89" s="20" t="n">
        <v>0.7291666666666666</v>
      </c>
      <c r="E89" s="20" t="n">
        <v>0</v>
      </c>
      <c r="F89" s="12" t="inlineStr">
        <is>
          <t>本社</t>
        </is>
      </c>
      <c r="G89" s="12" t="inlineStr">
        <is>
          <t>本社</t>
        </is>
      </c>
      <c r="H89" s="12" t="inlineStr">
        <is>
          <t>助手</t>
        </is>
      </c>
      <c r="I89" s="59" t="inlineStr">
        <is>
          <t>研修</t>
        </is>
      </c>
      <c r="J89" s="1" t="inlineStr">
        <is>
          <t>研修</t>
        </is>
      </c>
      <c r="K89" s="14" t="inlineStr">
        <is>
          <t>Revit学習　樋門モデル作成</t>
        </is>
      </c>
      <c r="L89" s="75" t="n">
        <v>6.5</v>
      </c>
      <c r="M89" s="12" t="inlineStr">
        <is>
          <t>AUTODESK</t>
        </is>
      </c>
      <c r="N89" s="76" t="n">
        <v>1750</v>
      </c>
      <c r="O89" s="12" t="inlineStr">
        <is>
          <t>なし</t>
        </is>
      </c>
      <c r="P89" s="12" t="inlineStr">
        <is>
          <t>-</t>
        </is>
      </c>
      <c r="Q89" s="12" t="inlineStr">
        <is>
          <t>-</t>
        </is>
      </c>
      <c r="R89" s="77" t="inlineStr">
        <is>
          <t>-</t>
        </is>
      </c>
      <c r="S89" s="1" t="inlineStr">
        <is>
          <t>-</t>
        </is>
      </c>
    </row>
    <row r="90">
      <c r="A90" s="74" t="n">
        <v>46136</v>
      </c>
      <c r="B90" s="12" t="inlineStr">
        <is>
          <t>天野</t>
        </is>
      </c>
      <c r="C90" s="20" t="inlineStr">
        <is>
          <t>-</t>
        </is>
      </c>
      <c r="D90" s="20" t="inlineStr">
        <is>
          <t>-</t>
        </is>
      </c>
      <c r="E90" s="20" t="inlineStr">
        <is>
          <t>-</t>
        </is>
      </c>
      <c r="F90" s="12" t="inlineStr">
        <is>
          <t>-</t>
        </is>
      </c>
      <c r="G90" s="12" t="inlineStr">
        <is>
          <t>-</t>
        </is>
      </c>
      <c r="H90" s="12" t="inlineStr">
        <is>
          <t>助手</t>
        </is>
      </c>
      <c r="I90" s="59" t="inlineStr">
        <is>
          <t>SM027</t>
        </is>
      </c>
      <c r="J90" s="1" t="inlineStr">
        <is>
          <t>Revitマニュアル</t>
        </is>
      </c>
      <c r="K90" s="14" t="inlineStr">
        <is>
          <t>新フォーマットに合わせた資料作成</t>
        </is>
      </c>
      <c r="L90" s="75" t="n">
        <v>1.5</v>
      </c>
      <c r="M90" s="12" t="inlineStr">
        <is>
          <t>なし</t>
        </is>
      </c>
      <c r="N90" s="76" t="inlineStr">
        <is>
          <t>-</t>
        </is>
      </c>
      <c r="O90" s="12" t="inlineStr">
        <is>
          <t>なし</t>
        </is>
      </c>
      <c r="P90" s="12" t="inlineStr">
        <is>
          <t>-</t>
        </is>
      </c>
      <c r="Q90" s="12" t="inlineStr">
        <is>
          <t>-</t>
        </is>
      </c>
      <c r="R90" s="77" t="inlineStr">
        <is>
          <t>-</t>
        </is>
      </c>
      <c r="S90" s="1" t="inlineStr">
        <is>
          <t>-</t>
        </is>
      </c>
    </row>
    <row r="91">
      <c r="A91" s="74" t="n">
        <v>46136</v>
      </c>
      <c r="B91" s="12" t="inlineStr">
        <is>
          <t>タイ</t>
        </is>
      </c>
      <c r="C91" s="20" t="n">
        <v>0.3541666666666667</v>
      </c>
      <c r="D91" s="20" t="n">
        <v>0.7291666666666666</v>
      </c>
      <c r="E91" s="20" t="n">
        <v>0</v>
      </c>
      <c r="F91" s="12" t="inlineStr">
        <is>
          <t>本社</t>
        </is>
      </c>
      <c r="G91" s="12" t="inlineStr">
        <is>
          <t>本社</t>
        </is>
      </c>
      <c r="H91" s="12" t="inlineStr">
        <is>
          <t>助手</t>
        </is>
      </c>
      <c r="I91" s="59" t="inlineStr">
        <is>
          <t>EA156</t>
        </is>
      </c>
      <c r="J91" s="1" t="inlineStr">
        <is>
          <t>R7寺田拡幅</t>
        </is>
      </c>
      <c r="K91" s="14" t="inlineStr">
        <is>
          <t>寺田拡幅交差点の3Dモデル作成</t>
        </is>
      </c>
      <c r="L91" s="75" t="n">
        <v>8</v>
      </c>
      <c r="M91" s="12" t="inlineStr">
        <is>
          <t>AUTODESK</t>
        </is>
      </c>
      <c r="N91" s="76" t="n">
        <v>1750</v>
      </c>
      <c r="O91" s="12" t="inlineStr">
        <is>
          <t>なし</t>
        </is>
      </c>
      <c r="P91" s="12" t="inlineStr">
        <is>
          <t>-</t>
        </is>
      </c>
      <c r="Q91" s="12" t="inlineStr">
        <is>
          <t>-</t>
        </is>
      </c>
      <c r="R91" s="77" t="inlineStr">
        <is>
          <t>-</t>
        </is>
      </c>
      <c r="S91" s="1" t="inlineStr">
        <is>
          <t>-</t>
        </is>
      </c>
    </row>
    <row r="92">
      <c r="A92" s="74" t="n">
        <v>46136</v>
      </c>
      <c r="B92" s="12" t="inlineStr">
        <is>
          <t>金本</t>
        </is>
      </c>
      <c r="C92" s="20" t="n">
        <v>0.3541666666666667</v>
      </c>
      <c r="D92" s="41" t="n">
        <v>0.7291666666666666</v>
      </c>
      <c r="E92" s="20" t="n">
        <v>0</v>
      </c>
      <c r="F92" s="12" t="inlineStr">
        <is>
          <t>本社</t>
        </is>
      </c>
      <c r="G92" s="12" t="inlineStr">
        <is>
          <t>本社</t>
        </is>
      </c>
      <c r="H92" s="12" t="inlineStr">
        <is>
          <t>助手</t>
        </is>
      </c>
      <c r="I92" s="38" t="inlineStr">
        <is>
          <t>EA134</t>
        </is>
      </c>
      <c r="J92" s="39" t="inlineStr">
        <is>
          <t>教材作成</t>
        </is>
      </c>
      <c r="K92" s="38" t="inlineStr">
        <is>
          <t>錢高組 Revit講習 報告書作成</t>
        </is>
      </c>
      <c r="L92" s="75" t="n">
        <v>3</v>
      </c>
      <c r="M92" s="12" t="inlineStr">
        <is>
          <t>なし</t>
        </is>
      </c>
      <c r="N92" s="76" t="inlineStr">
        <is>
          <t>-</t>
        </is>
      </c>
      <c r="O92" s="12" t="inlineStr">
        <is>
          <t>なし</t>
        </is>
      </c>
      <c r="P92" s="12" t="inlineStr">
        <is>
          <t>-</t>
        </is>
      </c>
      <c r="Q92" s="12" t="inlineStr">
        <is>
          <t>-</t>
        </is>
      </c>
      <c r="R92" s="77" t="inlineStr">
        <is>
          <t>-</t>
        </is>
      </c>
      <c r="S92" s="1" t="inlineStr">
        <is>
          <t>-</t>
        </is>
      </c>
    </row>
    <row r="93">
      <c r="A93" s="74" t="n">
        <v>46136</v>
      </c>
      <c r="B93" s="12" t="inlineStr">
        <is>
          <t>金本</t>
        </is>
      </c>
      <c r="C93" s="20" t="inlineStr">
        <is>
          <t>-</t>
        </is>
      </c>
      <c r="D93" s="20" t="inlineStr">
        <is>
          <t>-</t>
        </is>
      </c>
      <c r="E93" s="20" t="inlineStr">
        <is>
          <t>-</t>
        </is>
      </c>
      <c r="F93" s="12" t="inlineStr">
        <is>
          <t>-</t>
        </is>
      </c>
      <c r="G93" s="12" t="inlineStr">
        <is>
          <t>-</t>
        </is>
      </c>
      <c r="H93" s="12" t="inlineStr">
        <is>
          <t>助手</t>
        </is>
      </c>
      <c r="I93" s="59" t="inlineStr">
        <is>
          <t>EA96</t>
        </is>
      </c>
      <c r="J93" s="1" t="inlineStr">
        <is>
          <t>新都市</t>
        </is>
      </c>
      <c r="K93" s="14" t="inlineStr">
        <is>
          <t>近畿地方整備局 打ち合わせ</t>
        </is>
      </c>
      <c r="L93" s="75" t="n">
        <v>5</v>
      </c>
      <c r="M93" s="12" t="inlineStr">
        <is>
          <t>なし</t>
        </is>
      </c>
      <c r="N93" s="76" t="inlineStr">
        <is>
          <t>-</t>
        </is>
      </c>
      <c r="O93" s="12" t="inlineStr">
        <is>
          <t>なし</t>
        </is>
      </c>
      <c r="P93" s="12" t="inlineStr">
        <is>
          <t>-</t>
        </is>
      </c>
      <c r="Q93" s="12" t="inlineStr">
        <is>
          <t>-</t>
        </is>
      </c>
      <c r="R93" s="77" t="inlineStr">
        <is>
          <t>-</t>
        </is>
      </c>
      <c r="S93" s="1" t="inlineStr">
        <is>
          <t>-</t>
        </is>
      </c>
    </row>
    <row r="94">
      <c r="A94" s="74" t="n">
        <v>46136</v>
      </c>
      <c r="B94" s="12" t="inlineStr">
        <is>
          <t>バタイ</t>
        </is>
      </c>
      <c r="C94" s="20" t="n">
        <v>0.3125</v>
      </c>
      <c r="D94" s="20" t="n">
        <v>0.7083333333333334</v>
      </c>
      <c r="E94" s="20" t="n">
        <v>0.02083333333333333</v>
      </c>
      <c r="F94" s="12" t="inlineStr">
        <is>
          <t>本社</t>
        </is>
      </c>
      <c r="G94" s="12" t="inlineStr">
        <is>
          <t>本社</t>
        </is>
      </c>
      <c r="H94" s="12" t="inlineStr">
        <is>
          <t>助手</t>
        </is>
      </c>
      <c r="I94" s="14" t="inlineStr">
        <is>
          <t>研修</t>
        </is>
      </c>
      <c r="J94" s="12" t="inlineStr">
        <is>
          <t>研修</t>
        </is>
      </c>
      <c r="K94" s="14" t="inlineStr">
        <is>
          <t>REVIT 配筋モデルマニュアル作成</t>
        </is>
      </c>
      <c r="L94" s="75" t="n">
        <v>8</v>
      </c>
      <c r="M94" s="12" t="inlineStr">
        <is>
          <t>なし</t>
        </is>
      </c>
      <c r="N94" s="76" t="inlineStr">
        <is>
          <t>-</t>
        </is>
      </c>
      <c r="O94" s="12" t="inlineStr">
        <is>
          <t>なし</t>
        </is>
      </c>
      <c r="P94" s="12" t="inlineStr">
        <is>
          <t>-</t>
        </is>
      </c>
      <c r="Q94" s="12" t="inlineStr">
        <is>
          <t>-</t>
        </is>
      </c>
      <c r="R94" s="77" t="inlineStr">
        <is>
          <t>-</t>
        </is>
      </c>
      <c r="S94" s="1" t="inlineStr">
        <is>
          <t>-</t>
        </is>
      </c>
    </row>
    <row r="95">
      <c r="A95" s="74" t="n">
        <v>46136</v>
      </c>
      <c r="B95" s="12" t="inlineStr">
        <is>
          <t>竹本</t>
        </is>
      </c>
      <c r="C95" s="20" t="n">
        <v>0.3541666666666667</v>
      </c>
      <c r="D95" s="20" t="n">
        <v>0.7291666666666666</v>
      </c>
      <c r="E95" s="20" t="n">
        <v>0</v>
      </c>
      <c r="F95" s="12" t="inlineStr">
        <is>
          <t>現場</t>
        </is>
      </c>
      <c r="G95" s="12" t="inlineStr">
        <is>
          <t>現場</t>
        </is>
      </c>
      <c r="H95" s="12" t="inlineStr">
        <is>
          <t>技師</t>
        </is>
      </c>
      <c r="I95" s="38" t="inlineStr">
        <is>
          <t>EA157</t>
        </is>
      </c>
      <c r="J95" s="39" t="inlineStr">
        <is>
          <t>蛙ヶ谷基準点</t>
        </is>
      </c>
      <c r="K95" s="14" t="inlineStr">
        <is>
          <t>基準点設置観測　ローカライズ点観測</t>
        </is>
      </c>
      <c r="L95" s="75" t="n">
        <v>8</v>
      </c>
      <c r="M95" s="12" t="inlineStr">
        <is>
          <t>武蔵</t>
        </is>
      </c>
      <c r="N95" s="76" t="n">
        <v>480</v>
      </c>
      <c r="O95" s="12" t="inlineStr">
        <is>
          <t>なし</t>
        </is>
      </c>
      <c r="P95" s="12" t="inlineStr">
        <is>
          <t>-</t>
        </is>
      </c>
      <c r="Q95" s="12" t="inlineStr">
        <is>
          <t>-</t>
        </is>
      </c>
      <c r="R95" s="77" t="inlineStr">
        <is>
          <t>-</t>
        </is>
      </c>
      <c r="S95" s="1" t="inlineStr">
        <is>
          <t>-</t>
        </is>
      </c>
    </row>
    <row r="96">
      <c r="A96" s="74" t="n">
        <v>46136</v>
      </c>
      <c r="B96" s="12" t="inlineStr">
        <is>
          <t>ズイ</t>
        </is>
      </c>
      <c r="C96" s="20" t="n">
        <v>0.3125</v>
      </c>
      <c r="D96" s="20" t="n">
        <v>0.7083333333333334</v>
      </c>
      <c r="E96" s="20" t="n">
        <v>0.02083333333333333</v>
      </c>
      <c r="F96" s="12" t="inlineStr">
        <is>
          <t>本社</t>
        </is>
      </c>
      <c r="G96" s="12" t="inlineStr">
        <is>
          <t>本社</t>
        </is>
      </c>
      <c r="H96" s="12" t="inlineStr">
        <is>
          <t>助手</t>
        </is>
      </c>
      <c r="I96" s="59" t="inlineStr">
        <is>
          <t>VT01</t>
        </is>
      </c>
      <c r="J96" s="1" t="inlineStr">
        <is>
          <t>駐在所</t>
        </is>
      </c>
      <c r="K96" s="14" t="inlineStr">
        <is>
          <t>ベトナム法人化に関する資料を作成</t>
        </is>
      </c>
      <c r="L96" s="75" t="n">
        <v>4</v>
      </c>
      <c r="M96" s="12" t="inlineStr">
        <is>
          <t>なし</t>
        </is>
      </c>
      <c r="N96" s="76" t="inlineStr">
        <is>
          <t>-</t>
        </is>
      </c>
      <c r="O96" s="12" t="inlineStr">
        <is>
          <t>なし</t>
        </is>
      </c>
      <c r="P96" s="12" t="inlineStr">
        <is>
          <t>-</t>
        </is>
      </c>
      <c r="Q96" s="12" t="inlineStr">
        <is>
          <t>-</t>
        </is>
      </c>
      <c r="R96" s="77" t="inlineStr">
        <is>
          <t>-</t>
        </is>
      </c>
      <c r="S96" s="1" t="inlineStr">
        <is>
          <t>-</t>
        </is>
      </c>
    </row>
    <row r="97">
      <c r="A97" s="74" t="n">
        <v>46136</v>
      </c>
      <c r="B97" s="12" t="inlineStr">
        <is>
          <t>ズイ</t>
        </is>
      </c>
      <c r="C97" s="20" t="inlineStr">
        <is>
          <t>-</t>
        </is>
      </c>
      <c r="D97" s="20" t="inlineStr">
        <is>
          <t>-</t>
        </is>
      </c>
      <c r="E97" s="20" t="inlineStr">
        <is>
          <t>-</t>
        </is>
      </c>
      <c r="F97" s="12" t="inlineStr">
        <is>
          <t>-</t>
        </is>
      </c>
      <c r="G97" s="12" t="inlineStr">
        <is>
          <t>-</t>
        </is>
      </c>
      <c r="H97" s="12" t="inlineStr">
        <is>
          <t>助手</t>
        </is>
      </c>
      <c r="I97" s="59" t="inlineStr">
        <is>
          <t>EA134</t>
        </is>
      </c>
      <c r="J97" s="1" t="inlineStr">
        <is>
          <t>教材作成</t>
        </is>
      </c>
      <c r="K97" s="14" t="inlineStr">
        <is>
          <t>アースのマニュアルテンプレートに作成したtwinmotionマニュアルを合わせる</t>
        </is>
      </c>
      <c r="L97" s="75" t="n">
        <v>4.5</v>
      </c>
      <c r="M97" s="12" t="inlineStr">
        <is>
          <t>AUTODESK</t>
        </is>
      </c>
      <c r="N97" s="76" t="n">
        <v>1750</v>
      </c>
      <c r="O97" s="12" t="inlineStr">
        <is>
          <t>なし</t>
        </is>
      </c>
      <c r="P97" s="12" t="inlineStr">
        <is>
          <t>-</t>
        </is>
      </c>
      <c r="Q97" s="12" t="inlineStr">
        <is>
          <t>-</t>
        </is>
      </c>
      <c r="R97" s="77" t="inlineStr">
        <is>
          <t>-</t>
        </is>
      </c>
      <c r="S97" s="1" t="inlineStr">
        <is>
          <t>-</t>
        </is>
      </c>
    </row>
    <row r="98">
      <c r="A98" s="74" t="n">
        <v>46136</v>
      </c>
      <c r="B98" s="12" t="inlineStr">
        <is>
          <t>南</t>
        </is>
      </c>
      <c r="C98" s="20" t="n">
        <v>0.3541666666666667</v>
      </c>
      <c r="D98" s="20" t="n">
        <v>0.7291666666666666</v>
      </c>
      <c r="E98" s="20" t="n">
        <v>0</v>
      </c>
      <c r="F98" s="12" t="inlineStr">
        <is>
          <t>本社</t>
        </is>
      </c>
      <c r="G98" s="12" t="inlineStr">
        <is>
          <t>本社</t>
        </is>
      </c>
      <c r="H98" s="12" t="inlineStr">
        <is>
          <t>助手</t>
        </is>
      </c>
      <c r="I98" s="1" t="inlineStr">
        <is>
          <t>SM027</t>
        </is>
      </c>
      <c r="J98" s="1" t="inlineStr">
        <is>
          <t>Revitマニュアル</t>
        </is>
      </c>
      <c r="K98" s="14" t="inlineStr">
        <is>
          <t>新フォーマットに合わせた資料作成</t>
        </is>
      </c>
      <c r="L98" s="75" t="n">
        <v>8</v>
      </c>
      <c r="M98" s="12" t="inlineStr">
        <is>
          <t>なし</t>
        </is>
      </c>
      <c r="N98" s="76" t="inlineStr">
        <is>
          <t>-</t>
        </is>
      </c>
      <c r="O98" s="12" t="inlineStr">
        <is>
          <t>なし</t>
        </is>
      </c>
      <c r="P98" s="12" t="inlineStr">
        <is>
          <t>-</t>
        </is>
      </c>
      <c r="Q98" s="12" t="inlineStr">
        <is>
          <t>-</t>
        </is>
      </c>
      <c r="R98" s="77" t="inlineStr">
        <is>
          <t>-</t>
        </is>
      </c>
      <c r="S98" s="1" t="inlineStr">
        <is>
          <t>-</t>
        </is>
      </c>
    </row>
    <row r="99">
      <c r="A99" s="74" t="n">
        <v>46136</v>
      </c>
      <c r="B99" s="12" t="inlineStr">
        <is>
          <t>仲</t>
        </is>
      </c>
      <c r="C99" s="20" t="n">
        <v>0.3541666666666667</v>
      </c>
      <c r="D99" s="20" t="n">
        <v>0.7708333333333334</v>
      </c>
      <c r="E99" s="20" t="n">
        <v>0.04166666666666666</v>
      </c>
      <c r="F99" s="12" t="inlineStr">
        <is>
          <t>本社</t>
        </is>
      </c>
      <c r="G99" s="12" t="inlineStr">
        <is>
          <t>本社</t>
        </is>
      </c>
      <c r="H99" s="12" t="inlineStr">
        <is>
          <t>助手</t>
        </is>
      </c>
      <c r="I99" s="59" t="inlineStr">
        <is>
          <t>EA157</t>
        </is>
      </c>
      <c r="J99" s="1" t="inlineStr">
        <is>
          <t>蛙ヶ谷基準点</t>
        </is>
      </c>
      <c r="K99" s="14" t="inlineStr">
        <is>
          <t>基準点測量</t>
        </is>
      </c>
      <c r="L99" s="75" t="n">
        <v>6.5</v>
      </c>
      <c r="M99" s="12" t="inlineStr">
        <is>
          <t>なし</t>
        </is>
      </c>
      <c r="N99" s="76" t="inlineStr">
        <is>
          <t>-</t>
        </is>
      </c>
      <c r="O99" s="12" t="inlineStr">
        <is>
          <t>なし</t>
        </is>
      </c>
      <c r="P99" s="12" t="inlineStr">
        <is>
          <t>-</t>
        </is>
      </c>
      <c r="Q99" s="12" t="inlineStr">
        <is>
          <t>-</t>
        </is>
      </c>
      <c r="R99" s="77" t="inlineStr">
        <is>
          <t>-</t>
        </is>
      </c>
      <c r="S99" s="1" t="inlineStr">
        <is>
          <t>-</t>
        </is>
      </c>
    </row>
    <row r="100">
      <c r="A100" s="74" t="n">
        <v>46136</v>
      </c>
      <c r="B100" s="12" t="inlineStr">
        <is>
          <t>仲</t>
        </is>
      </c>
      <c r="C100" s="20" t="inlineStr">
        <is>
          <t>-</t>
        </is>
      </c>
      <c r="D100" s="20" t="inlineStr">
        <is>
          <t>-</t>
        </is>
      </c>
      <c r="E100" s="20" t="inlineStr">
        <is>
          <t>-</t>
        </is>
      </c>
      <c r="F100" s="12" t="inlineStr">
        <is>
          <t>-</t>
        </is>
      </c>
      <c r="G100" s="12" t="inlineStr">
        <is>
          <t>-</t>
        </is>
      </c>
      <c r="H100" s="12" t="inlineStr">
        <is>
          <t>助手</t>
        </is>
      </c>
      <c r="I100" s="38" t="inlineStr">
        <is>
          <t>EA94</t>
        </is>
      </c>
      <c r="J100" s="39" t="inlineStr">
        <is>
          <t>なにわ筋</t>
        </is>
      </c>
      <c r="K100" s="14" t="inlineStr">
        <is>
          <t>ポケットWi-Fi手配準備</t>
        </is>
      </c>
      <c r="L100" s="75" t="n">
        <v>2.5</v>
      </c>
      <c r="M100" s="12" t="inlineStr">
        <is>
          <t>なし</t>
        </is>
      </c>
      <c r="N100" s="76" t="inlineStr">
        <is>
          <t>-</t>
        </is>
      </c>
      <c r="O100" s="12" t="inlineStr">
        <is>
          <t>なし</t>
        </is>
      </c>
      <c r="P100" s="12" t="inlineStr">
        <is>
          <t>-</t>
        </is>
      </c>
      <c r="Q100" s="12" t="inlineStr">
        <is>
          <t>-</t>
        </is>
      </c>
      <c r="R100" s="77" t="inlineStr">
        <is>
          <t>-</t>
        </is>
      </c>
      <c r="S100" s="1" t="inlineStr">
        <is>
          <t>-</t>
        </is>
      </c>
    </row>
    <row r="101">
      <c r="A101" s="74" t="n">
        <v>46136</v>
      </c>
      <c r="B101" s="12" t="inlineStr">
        <is>
          <t>千原</t>
        </is>
      </c>
      <c r="C101" s="20" t="n">
        <v>0.3541666666666667</v>
      </c>
      <c r="D101" s="20" t="n">
        <v>0.7291666666666666</v>
      </c>
      <c r="E101" s="20" t="n">
        <v>0</v>
      </c>
      <c r="F101" s="12" t="inlineStr">
        <is>
          <t>リモート</t>
        </is>
      </c>
      <c r="G101" s="12" t="inlineStr">
        <is>
          <t>リモート</t>
        </is>
      </c>
      <c r="H101" s="12" t="inlineStr">
        <is>
          <t>助手</t>
        </is>
      </c>
      <c r="I101" s="38" t="inlineStr">
        <is>
          <t>研修</t>
        </is>
      </c>
      <c r="J101" s="39" t="inlineStr">
        <is>
          <t>研修</t>
        </is>
      </c>
      <c r="K101" s="38" t="inlineStr">
        <is>
          <t>Autodesk操作資料テンプレート・編集説明書（完成）、Claude Designについて調査</t>
        </is>
      </c>
      <c r="L101" s="75" t="n">
        <v>8</v>
      </c>
      <c r="M101" s="12" t="inlineStr">
        <is>
          <t>なし</t>
        </is>
      </c>
      <c r="N101" s="76" t="inlineStr">
        <is>
          <t>-</t>
        </is>
      </c>
      <c r="O101" s="12" t="inlineStr">
        <is>
          <t>なし</t>
        </is>
      </c>
      <c r="P101" s="12" t="inlineStr">
        <is>
          <t>-</t>
        </is>
      </c>
      <c r="Q101" s="12" t="inlineStr">
        <is>
          <t>-</t>
        </is>
      </c>
      <c r="R101" s="77" t="inlineStr">
        <is>
          <t>-</t>
        </is>
      </c>
      <c r="S101" s="1" t="inlineStr">
        <is>
          <t>-</t>
        </is>
      </c>
    </row>
    <row r="102" hidden="1" s="79">
      <c r="C102" s="20" t="n"/>
      <c r="D102" s="20" t="n"/>
      <c r="E102" s="20" t="n"/>
    </row>
    <row r="103" hidden="1" s="79">
      <c r="C103" s="20" t="n"/>
      <c r="D103" s="20" t="n"/>
      <c r="E103" s="20" t="n"/>
    </row>
    <row r="104" hidden="1" s="79">
      <c r="C104" s="20" t="n"/>
      <c r="D104" s="20" t="n"/>
      <c r="E104" s="20" t="n"/>
    </row>
    <row r="105" hidden="1" s="79">
      <c r="C105" s="20" t="n"/>
      <c r="D105" s="20" t="n"/>
      <c r="E105" s="20" t="n"/>
    </row>
    <row r="106" hidden="1" s="79">
      <c r="C106" s="20" t="n"/>
      <c r="D106" s="20" t="n"/>
      <c r="E106" s="20" t="n"/>
      <c r="I106" s="12" t="n"/>
      <c r="J106" s="12" t="n"/>
    </row>
    <row r="107" hidden="1" s="79">
      <c r="C107" s="20" t="n"/>
      <c r="D107" s="20" t="n"/>
      <c r="E107" s="20" t="n"/>
    </row>
    <row r="108" hidden="1" s="79">
      <c r="C108" s="20" t="n"/>
      <c r="D108" s="20" t="n"/>
      <c r="E108" s="20" t="n"/>
      <c r="I108" s="12" t="n"/>
      <c r="J108" s="12" t="n"/>
      <c r="K108" s="14" t="n"/>
    </row>
    <row r="109" hidden="1" s="79">
      <c r="C109" s="20" t="n"/>
      <c r="D109" s="20" t="n"/>
      <c r="E109" s="20" t="n"/>
      <c r="I109" s="14" t="n"/>
      <c r="J109" s="12" t="n"/>
      <c r="K109" s="14" t="n"/>
    </row>
    <row r="110" hidden="1" s="79">
      <c r="C110" s="20" t="n"/>
      <c r="D110" s="20" t="n"/>
      <c r="E110" s="20" t="n"/>
      <c r="I110" s="14" t="n"/>
      <c r="J110" s="12" t="n"/>
      <c r="K110" s="14" t="n"/>
    </row>
    <row r="111" hidden="1" s="79">
      <c r="C111" s="20" t="n"/>
      <c r="D111" s="20" t="n"/>
      <c r="E111" s="20" t="n"/>
      <c r="I111" s="59" t="n"/>
      <c r="J111" s="1" t="n"/>
      <c r="K111" s="14" t="n"/>
      <c r="N111" s="76" t="n"/>
    </row>
    <row r="112" hidden="1" s="79">
      <c r="C112" s="20" t="n"/>
      <c r="D112" s="20" t="n"/>
      <c r="E112" s="20" t="n"/>
      <c r="I112" s="14" t="n"/>
      <c r="J112" s="12" t="n"/>
      <c r="K112" s="14" t="n"/>
    </row>
    <row r="113" hidden="1" s="79">
      <c r="C113" s="20" t="n"/>
      <c r="D113" s="20" t="n"/>
      <c r="E113" s="20" t="n"/>
      <c r="I113" s="14" t="n"/>
      <c r="J113" s="12" t="n"/>
      <c r="K113" s="14" t="n"/>
    </row>
    <row r="114" hidden="1" s="79">
      <c r="C114" s="20" t="n"/>
      <c r="D114" s="20" t="n"/>
      <c r="E114" s="20" t="n"/>
      <c r="I114" s="14" t="n"/>
      <c r="J114" s="12" t="n"/>
      <c r="K114" s="14" t="n"/>
    </row>
    <row r="115" hidden="1" s="79">
      <c r="C115" s="20" t="n"/>
      <c r="D115" s="20" t="n"/>
      <c r="E115" s="20" t="n"/>
      <c r="I115" s="14" t="n"/>
      <c r="J115" s="12" t="n"/>
      <c r="K115" s="14" t="n"/>
    </row>
    <row r="116" hidden="1" s="79">
      <c r="C116" s="20" t="n"/>
      <c r="D116" s="20" t="n"/>
      <c r="E116" s="20" t="n"/>
      <c r="I116" s="14" t="n"/>
      <c r="J116" s="12" t="n"/>
      <c r="K116" s="14" t="n"/>
    </row>
    <row r="117" hidden="1" s="79">
      <c r="C117" s="20" t="n"/>
      <c r="D117" s="20" t="n"/>
      <c r="E117" s="20" t="n"/>
      <c r="I117" s="14" t="n"/>
      <c r="J117" s="12" t="n"/>
      <c r="K117" s="14" t="n"/>
    </row>
    <row r="118" hidden="1" s="79">
      <c r="C118" s="20" t="n"/>
      <c r="D118" s="20" t="n"/>
      <c r="E118" s="20" t="n"/>
      <c r="I118" s="12" t="n"/>
      <c r="J118" s="12" t="n"/>
      <c r="K118" s="14" t="n"/>
    </row>
    <row r="119" hidden="1" s="79">
      <c r="C119" s="20" t="n"/>
      <c r="D119" s="20" t="n"/>
      <c r="E119" s="20" t="n"/>
      <c r="N119" s="76" t="n"/>
    </row>
    <row r="120" hidden="1" s="79">
      <c r="C120" s="20" t="n"/>
      <c r="D120" s="20" t="n"/>
      <c r="E120" s="20" t="n"/>
      <c r="I120" s="14" t="n"/>
      <c r="J120" s="12" t="n"/>
      <c r="K120" s="14" t="n"/>
    </row>
    <row r="121" hidden="1" s="79">
      <c r="C121" s="20" t="n"/>
      <c r="D121" s="20" t="n"/>
      <c r="E121" s="20" t="n"/>
      <c r="I121" s="14" t="n"/>
      <c r="J121" s="12" t="n"/>
      <c r="K121" s="14" t="n"/>
    </row>
    <row r="122" hidden="1" s="79">
      <c r="C122" s="20" t="n"/>
      <c r="D122" s="20" t="n"/>
      <c r="E122" s="20" t="n"/>
      <c r="I122" s="12" t="n"/>
      <c r="J122" s="12" t="n"/>
      <c r="K122" s="14" t="n"/>
    </row>
    <row r="123" hidden="1" s="79">
      <c r="C123" s="20" t="n"/>
      <c r="D123" s="20" t="n"/>
      <c r="E123" s="20" t="n"/>
      <c r="I123" s="14" t="n"/>
      <c r="J123" s="12" t="n"/>
      <c r="K123" s="40" t="n"/>
    </row>
    <row r="124" hidden="1" s="79">
      <c r="C124" s="20" t="n"/>
      <c r="D124" s="20" t="n"/>
      <c r="E124" s="20" t="n"/>
      <c r="I124" s="14" t="n"/>
      <c r="J124" s="12" t="n"/>
      <c r="K124" s="14" t="n"/>
    </row>
    <row r="125" hidden="1" s="79">
      <c r="C125" s="20" t="n"/>
      <c r="D125" s="20" t="n"/>
      <c r="E125" s="20" t="n"/>
    </row>
    <row r="126" hidden="1" s="79">
      <c r="C126" s="20" t="n"/>
      <c r="D126" s="20" t="n"/>
      <c r="E126" s="20" t="n"/>
      <c r="F126" s="55" t="n"/>
      <c r="I126" s="14" t="n"/>
      <c r="J126" s="12" t="n"/>
      <c r="K126" s="14" t="n"/>
    </row>
    <row r="127" hidden="1" s="79">
      <c r="C127" s="20" t="n"/>
      <c r="D127" s="20" t="n"/>
      <c r="E127" s="20" t="n"/>
      <c r="I127" s="14" t="n"/>
      <c r="J127" s="12" t="n"/>
      <c r="K127" s="14" t="n"/>
    </row>
    <row r="128" hidden="1" s="79">
      <c r="C128" s="20" t="n"/>
      <c r="D128" s="20" t="n"/>
      <c r="E128" s="20" t="n"/>
      <c r="I128" s="59" t="n"/>
      <c r="J128" s="1" t="n"/>
      <c r="K128" s="14" t="n"/>
    </row>
    <row r="129" hidden="1" s="79">
      <c r="C129" s="20" t="n"/>
      <c r="D129" s="20" t="n"/>
      <c r="E129" s="20" t="n"/>
      <c r="I129" s="14" t="n"/>
      <c r="J129" s="12" t="n"/>
      <c r="K129" s="14" t="n"/>
    </row>
    <row r="130" hidden="1" s="79">
      <c r="C130" s="20" t="n"/>
      <c r="D130" s="20" t="n"/>
      <c r="E130" s="20" t="n"/>
      <c r="I130" s="14" t="n"/>
      <c r="J130" s="12" t="n"/>
      <c r="K130" s="14" t="n"/>
    </row>
    <row r="131" hidden="1" s="79">
      <c r="C131" s="20" t="n"/>
      <c r="D131" s="20" t="n"/>
      <c r="E131" s="20" t="n"/>
      <c r="I131" s="14" t="n"/>
      <c r="J131" s="12" t="n"/>
      <c r="K131" s="14" t="n"/>
    </row>
    <row r="132" hidden="1" s="79">
      <c r="C132" s="20" t="n"/>
      <c r="D132" s="20" t="n"/>
      <c r="E132" s="20" t="n"/>
      <c r="I132" s="14" t="n"/>
      <c r="J132" s="12" t="n"/>
      <c r="K132" s="14" t="n"/>
    </row>
    <row r="133" hidden="1" s="79">
      <c r="C133" s="20" t="n"/>
      <c r="D133" s="20" t="n"/>
      <c r="E133" s="20" t="n"/>
      <c r="K133" s="14" t="n"/>
      <c r="N133" s="76" t="n"/>
    </row>
    <row r="134" hidden="1" s="79">
      <c r="C134" s="20" t="n"/>
      <c r="D134" s="20" t="n"/>
      <c r="E134" s="20" t="n"/>
      <c r="I134" s="14" t="n"/>
      <c r="J134" s="12" t="n"/>
      <c r="K134" s="14" t="n"/>
    </row>
    <row r="135" hidden="1" s="79">
      <c r="C135" s="20" t="n"/>
      <c r="D135" s="20" t="n"/>
      <c r="E135" s="20" t="n"/>
      <c r="I135" s="14" t="n"/>
      <c r="J135" s="12" t="n"/>
      <c r="K135" s="14" t="n"/>
    </row>
    <row r="136" hidden="1" s="79">
      <c r="C136" s="20" t="n"/>
      <c r="D136" s="20" t="n"/>
      <c r="E136" s="20" t="n"/>
      <c r="I136" s="14" t="n"/>
      <c r="J136" s="12" t="n"/>
      <c r="K136" s="14" t="n"/>
    </row>
    <row r="137" hidden="1" s="79">
      <c r="C137" s="20" t="n"/>
      <c r="D137" s="20" t="n"/>
      <c r="E137" s="20" t="n"/>
    </row>
    <row r="138" hidden="1" s="79">
      <c r="C138" s="20" t="n"/>
      <c r="D138" s="20" t="n"/>
      <c r="E138" s="20" t="n"/>
      <c r="I138" s="12" t="n"/>
      <c r="J138" s="12" t="n"/>
      <c r="K138" s="14" t="n"/>
    </row>
    <row r="139" hidden="1" s="79">
      <c r="C139" s="20" t="n"/>
      <c r="D139" s="20" t="n"/>
      <c r="E139" s="20" t="n"/>
      <c r="I139" s="12" t="n"/>
      <c r="J139" s="12" t="n"/>
    </row>
    <row r="140" hidden="1" s="79">
      <c r="C140" s="20" t="n"/>
      <c r="D140" s="20" t="n"/>
      <c r="E140" s="20" t="n"/>
      <c r="I140" s="14" t="n"/>
      <c r="J140" s="12" t="n"/>
      <c r="K140" s="14" t="n"/>
    </row>
    <row r="141" hidden="1" s="79">
      <c r="C141" s="20" t="n"/>
      <c r="D141" s="20" t="n"/>
      <c r="E141" s="20" t="n"/>
      <c r="I141" s="14" t="n"/>
      <c r="J141" s="12" t="n"/>
      <c r="K141" s="14" t="n"/>
    </row>
    <row r="142" hidden="1" s="79">
      <c r="C142" s="20" t="n"/>
      <c r="D142" s="20" t="n"/>
      <c r="E142" s="20" t="n"/>
      <c r="I142" s="12" t="n"/>
      <c r="J142" s="12" t="n"/>
      <c r="K142" s="14" t="n"/>
    </row>
    <row r="143" hidden="1" s="79">
      <c r="C143" s="20" t="n"/>
      <c r="D143" s="20" t="n"/>
      <c r="E143" s="20" t="n"/>
      <c r="I143" s="14" t="n"/>
      <c r="J143" s="12" t="n"/>
      <c r="K143" s="14" t="n"/>
    </row>
    <row r="144" hidden="1" s="79">
      <c r="C144" s="20" t="n"/>
      <c r="D144" s="20" t="n"/>
      <c r="E144" s="20" t="n"/>
      <c r="I144" s="14" t="n"/>
      <c r="J144" s="12" t="n"/>
      <c r="K144" s="14" t="n"/>
    </row>
    <row r="145" hidden="1" s="79">
      <c r="C145" s="20" t="n"/>
      <c r="D145" s="20" t="n"/>
      <c r="E145" s="20" t="n"/>
      <c r="I145" s="14" t="n"/>
      <c r="J145" s="12" t="n"/>
      <c r="K145" s="14" t="n"/>
    </row>
    <row r="146" hidden="1" s="79">
      <c r="C146" s="20" t="n"/>
      <c r="D146" s="20" t="n"/>
      <c r="E146" s="20" t="n"/>
      <c r="I146" s="12" t="n"/>
      <c r="J146" s="12" t="n"/>
    </row>
    <row r="147" hidden="1" s="79">
      <c r="C147" s="20" t="n"/>
      <c r="D147" s="20" t="n"/>
      <c r="E147" s="20" t="n"/>
    </row>
    <row r="148" hidden="1" s="79">
      <c r="C148" s="20" t="n"/>
      <c r="D148" s="20" t="n"/>
      <c r="E148" s="20" t="n"/>
      <c r="I148" s="14" t="n"/>
      <c r="J148" s="12" t="n"/>
      <c r="K148" s="14" t="n"/>
      <c r="N148" s="76" t="n"/>
    </row>
    <row r="149" hidden="1" s="79">
      <c r="C149" s="20" t="n"/>
      <c r="D149" s="20" t="n"/>
      <c r="E149" s="20" t="n"/>
      <c r="I149" s="14" t="n"/>
      <c r="J149" s="12" t="n"/>
      <c r="K149" s="14" t="n"/>
    </row>
    <row r="150" hidden="1" s="79">
      <c r="C150" s="20" t="n"/>
      <c r="D150" s="20" t="n"/>
      <c r="E150" s="20" t="n"/>
      <c r="I150" s="14" t="n"/>
      <c r="J150" s="12" t="n"/>
      <c r="K150" s="14" t="n"/>
    </row>
    <row r="151" hidden="1" s="79">
      <c r="C151" s="20" t="n"/>
      <c r="D151" s="20" t="n"/>
      <c r="E151" s="20" t="n"/>
      <c r="I151" s="14" t="n"/>
      <c r="J151" s="12" t="n"/>
      <c r="K151" s="14" t="n"/>
    </row>
    <row r="152" hidden="1" s="79">
      <c r="C152" s="20" t="n"/>
      <c r="D152" s="20" t="n"/>
      <c r="E152" s="20" t="n"/>
      <c r="I152" s="14" t="n"/>
      <c r="J152" s="12" t="n"/>
      <c r="K152" s="14" t="n"/>
    </row>
    <row r="153" hidden="1" s="79">
      <c r="C153" s="20" t="n"/>
      <c r="D153" s="20" t="n"/>
      <c r="E153" s="20" t="n"/>
      <c r="I153" s="14" t="n"/>
      <c r="J153" s="12" t="n"/>
      <c r="K153" s="14" t="n"/>
    </row>
    <row r="154" hidden="1" s="79">
      <c r="C154" s="20" t="n"/>
      <c r="D154" s="20" t="n"/>
      <c r="E154" s="20" t="n"/>
    </row>
    <row r="155" hidden="1" s="79">
      <c r="C155" s="20" t="n"/>
      <c r="D155" s="20" t="n"/>
      <c r="E155" s="20" t="n"/>
      <c r="K155" s="14" t="n"/>
    </row>
    <row r="156" hidden="1" s="79">
      <c r="C156" s="20" t="n"/>
      <c r="D156" s="20" t="n"/>
      <c r="E156" s="20" t="n"/>
      <c r="I156" s="14" t="n"/>
      <c r="J156" s="12" t="n"/>
      <c r="K156" s="14" t="n"/>
    </row>
    <row r="157" hidden="1" s="79">
      <c r="C157" s="20" t="n"/>
      <c r="D157" s="20" t="n"/>
      <c r="E157" s="20" t="n"/>
      <c r="I157" s="14" t="n"/>
      <c r="J157" s="12" t="n"/>
      <c r="K157" s="14" t="n"/>
    </row>
    <row r="158" hidden="1" s="79">
      <c r="C158" s="20" t="n"/>
      <c r="D158" s="20" t="n"/>
      <c r="E158" s="20" t="n"/>
      <c r="I158" s="14" t="n"/>
      <c r="J158" s="12" t="n"/>
      <c r="K158" s="14" t="n"/>
    </row>
    <row r="159" hidden="1" s="79">
      <c r="C159" s="20" t="n"/>
      <c r="D159" s="20" t="n"/>
      <c r="E159" s="20" t="n"/>
      <c r="I159" s="14" t="n"/>
      <c r="J159" s="12" t="n"/>
      <c r="K159" s="14" t="n"/>
    </row>
    <row r="160" hidden="1" s="79">
      <c r="C160" s="20" t="n"/>
      <c r="D160" s="20" t="n"/>
      <c r="E160" s="20" t="n"/>
      <c r="I160" s="14" t="n"/>
      <c r="J160" s="12" t="n"/>
      <c r="K160" s="14" t="n"/>
    </row>
    <row r="161" hidden="1" s="79">
      <c r="C161" s="20" t="n"/>
      <c r="D161" s="20" t="n"/>
      <c r="E161" s="20" t="n"/>
      <c r="I161" s="14" t="n"/>
      <c r="J161" s="12" t="n"/>
      <c r="K161" s="14" t="n"/>
      <c r="N161" s="76" t="n"/>
    </row>
    <row r="162" hidden="1" s="79">
      <c r="C162" s="20" t="n"/>
      <c r="D162" s="20" t="n"/>
      <c r="E162" s="20" t="n"/>
      <c r="I162" s="14" t="n"/>
      <c r="J162" s="12" t="n"/>
      <c r="K162" s="14" t="n"/>
    </row>
    <row r="163" hidden="1" s="79">
      <c r="C163" s="20" t="n"/>
      <c r="D163" s="20" t="n"/>
      <c r="E163" s="20" t="n"/>
      <c r="I163" s="14" t="n"/>
      <c r="J163" s="12" t="n"/>
      <c r="K163" s="14" t="n"/>
    </row>
    <row r="164" hidden="1" s="79">
      <c r="C164" s="20" t="n"/>
      <c r="D164" s="20" t="n"/>
      <c r="E164" s="20" t="n"/>
      <c r="I164" s="14" t="n"/>
      <c r="J164" s="12" t="n"/>
      <c r="K164" s="14" t="n"/>
    </row>
    <row r="165" hidden="1" s="79">
      <c r="C165" s="20" t="n"/>
      <c r="D165" s="20" t="n"/>
      <c r="E165" s="20" t="n"/>
      <c r="K165" s="14" t="n"/>
    </row>
    <row r="166" hidden="1" s="79">
      <c r="C166" s="20" t="n"/>
      <c r="D166" s="20" t="n"/>
      <c r="E166" s="20" t="n"/>
      <c r="I166" s="14" t="n"/>
      <c r="J166" s="12" t="n"/>
      <c r="K166" s="14" t="n"/>
    </row>
    <row r="167" hidden="1" s="79">
      <c r="C167" s="20" t="n"/>
      <c r="D167" s="20" t="n"/>
      <c r="E167" s="20" t="n"/>
      <c r="K167" s="14" t="n"/>
    </row>
    <row r="168" hidden="1" s="79">
      <c r="C168" s="20" t="n"/>
      <c r="D168" s="20" t="n"/>
      <c r="E168" s="20" t="n"/>
      <c r="I168" s="14" t="n"/>
      <c r="J168" s="12" t="n"/>
      <c r="K168" s="14" t="n"/>
    </row>
    <row r="169" hidden="1" s="79">
      <c r="C169" s="20" t="n"/>
      <c r="D169" s="20" t="n"/>
      <c r="E169" s="20" t="n"/>
      <c r="K169" s="14" t="n"/>
    </row>
    <row r="170" hidden="1" s="79">
      <c r="C170" s="20" t="n"/>
      <c r="D170" s="20" t="n"/>
      <c r="E170" s="20" t="n"/>
      <c r="I170" s="14" t="n"/>
      <c r="J170" s="12" t="n"/>
      <c r="K170" s="14" t="n"/>
    </row>
    <row r="171" hidden="1" s="79">
      <c r="C171" s="20" t="n"/>
      <c r="D171" s="20" t="n"/>
      <c r="E171" s="20" t="n"/>
      <c r="I171" s="14" t="n"/>
      <c r="J171" s="12" t="n"/>
      <c r="K171" s="14" t="n"/>
    </row>
    <row r="172" hidden="1" s="79">
      <c r="C172" s="20" t="n"/>
      <c r="D172" s="20" t="n"/>
      <c r="E172" s="20" t="n"/>
      <c r="I172" s="14" t="n"/>
      <c r="J172" s="12" t="n"/>
      <c r="K172" s="14" t="n"/>
    </row>
    <row r="173" hidden="1" s="79">
      <c r="C173" s="20" t="n"/>
      <c r="D173" s="20" t="n"/>
      <c r="E173" s="20" t="n"/>
      <c r="I173" s="14" t="n"/>
      <c r="J173" s="12" t="n"/>
      <c r="K173" s="14" t="n"/>
    </row>
    <row r="174" hidden="1" s="79">
      <c r="C174" s="20" t="n"/>
      <c r="D174" s="20" t="n"/>
      <c r="E174" s="20" t="n"/>
      <c r="I174" s="14" t="n"/>
      <c r="J174" s="12" t="n"/>
      <c r="K174" s="14" t="n"/>
    </row>
    <row r="175" hidden="1" s="79">
      <c r="C175" s="20" t="n"/>
      <c r="D175" s="20" t="n"/>
      <c r="E175" s="20" t="n"/>
      <c r="I175" s="14" t="n"/>
      <c r="J175" s="12" t="n"/>
      <c r="K175" s="14" t="n"/>
    </row>
    <row r="176" hidden="1" s="79">
      <c r="C176" s="20" t="n"/>
      <c r="D176" s="20" t="n"/>
      <c r="E176" s="20" t="n"/>
      <c r="I176" s="14" t="n"/>
      <c r="J176" s="12" t="n"/>
      <c r="K176" s="14" t="n"/>
    </row>
    <row r="177" hidden="1" s="79">
      <c r="C177" s="20" t="n"/>
      <c r="D177" s="20" t="n"/>
      <c r="E177" s="20" t="n"/>
      <c r="I177" s="14" t="n"/>
      <c r="J177" s="12" t="n"/>
      <c r="K177" s="14" t="n"/>
      <c r="N177" s="76" t="n"/>
    </row>
    <row r="178" hidden="1" s="79">
      <c r="C178" s="20" t="n"/>
      <c r="D178" s="20" t="n"/>
      <c r="E178" s="20" t="n"/>
      <c r="I178" s="14" t="n"/>
      <c r="J178" s="12" t="n"/>
      <c r="K178" s="14" t="n"/>
    </row>
    <row r="179" hidden="1" s="79">
      <c r="C179" s="20" t="n"/>
      <c r="D179" s="20" t="n"/>
      <c r="E179" s="20" t="n"/>
      <c r="K179" s="14" t="n"/>
    </row>
    <row r="180" hidden="1" s="79">
      <c r="C180" s="20" t="n"/>
      <c r="D180" s="20" t="n"/>
      <c r="E180" s="20" t="n"/>
      <c r="I180" s="14" t="n"/>
      <c r="J180" s="12" t="n"/>
      <c r="K180" s="14" t="n"/>
    </row>
    <row r="181" hidden="1" s="79">
      <c r="C181" s="20" t="n"/>
      <c r="D181" s="20" t="n"/>
      <c r="E181" s="20" t="n"/>
      <c r="K181" s="14" t="n"/>
    </row>
    <row r="182" hidden="1" s="79">
      <c r="C182" s="20" t="n"/>
      <c r="D182" s="20" t="n"/>
      <c r="E182" s="20" t="n"/>
      <c r="K182" s="14" t="n"/>
    </row>
    <row r="183" hidden="1" s="79">
      <c r="C183" s="20" t="n"/>
      <c r="D183" s="20" t="n"/>
      <c r="E183" s="20" t="n"/>
      <c r="I183" s="14" t="n"/>
      <c r="J183" s="12" t="n"/>
      <c r="K183" s="14" t="n"/>
    </row>
    <row r="184" hidden="1" s="79">
      <c r="C184" s="20" t="n"/>
      <c r="D184" s="20" t="n"/>
      <c r="E184" s="20" t="n"/>
      <c r="I184" s="14" t="n"/>
      <c r="J184" s="12" t="n"/>
      <c r="K184" s="14" t="n"/>
    </row>
    <row r="185" hidden="1" s="79">
      <c r="C185" s="20" t="n"/>
      <c r="D185" s="20" t="n"/>
      <c r="E185" s="20" t="n"/>
      <c r="I185" s="14" t="n"/>
      <c r="J185" s="12" t="n"/>
      <c r="K185" s="14" t="n"/>
    </row>
    <row r="186" hidden="1" s="79">
      <c r="C186" s="20" t="n"/>
      <c r="D186" s="20" t="n"/>
      <c r="E186" s="20" t="n"/>
      <c r="I186" s="14" t="n"/>
      <c r="J186" s="12" t="n"/>
      <c r="K186" s="14" t="n"/>
    </row>
    <row r="187" hidden="1" s="79">
      <c r="C187" s="20" t="n"/>
      <c r="D187" s="20" t="n"/>
      <c r="E187" s="20" t="n"/>
    </row>
    <row r="188" hidden="1" s="79">
      <c r="C188" s="20" t="n"/>
      <c r="D188" s="20" t="n"/>
      <c r="E188" s="20" t="n"/>
      <c r="I188" s="14" t="n"/>
      <c r="J188" s="12" t="n"/>
      <c r="K188" s="14" t="n"/>
    </row>
    <row r="189" hidden="1" s="79">
      <c r="C189" s="20" t="n"/>
      <c r="D189" s="20" t="n"/>
      <c r="E189" s="20" t="n"/>
      <c r="I189" s="14" t="n"/>
      <c r="J189" s="12" t="n"/>
      <c r="K189" s="14" t="n"/>
    </row>
    <row r="190" hidden="1" s="79">
      <c r="C190" s="20" t="n"/>
      <c r="D190" s="20" t="n"/>
      <c r="E190" s="20" t="n"/>
    </row>
    <row r="191" hidden="1" s="79">
      <c r="C191" s="20" t="n"/>
      <c r="D191" s="20" t="n"/>
      <c r="E191" s="20" t="n"/>
      <c r="I191" s="14" t="n"/>
      <c r="J191" s="12" t="n"/>
      <c r="N191" s="76" t="n"/>
    </row>
    <row r="192" hidden="1" s="79">
      <c r="C192" s="20" t="n"/>
      <c r="D192" s="20" t="n"/>
      <c r="E192" s="20" t="n"/>
    </row>
    <row r="193" hidden="1" s="79">
      <c r="C193" s="20" t="n"/>
      <c r="D193" s="20" t="n"/>
      <c r="E193" s="20" t="n"/>
      <c r="I193" s="14" t="n"/>
      <c r="J193" s="12" t="n"/>
      <c r="K193" s="14" t="n"/>
    </row>
    <row r="194" hidden="1" s="79">
      <c r="C194" s="20" t="n"/>
      <c r="D194" s="20" t="n"/>
      <c r="E194" s="20" t="n"/>
      <c r="I194" s="14" t="n"/>
      <c r="J194" s="12" t="n"/>
      <c r="K194" s="14" t="n"/>
    </row>
    <row r="195" hidden="1" s="79">
      <c r="C195" s="20" t="n"/>
      <c r="D195" s="20" t="n"/>
      <c r="E195" s="20" t="n"/>
      <c r="I195" s="14" t="n"/>
      <c r="J195" s="12" t="n"/>
      <c r="K195" s="14" t="n"/>
      <c r="N195" s="76" t="n"/>
    </row>
    <row r="196" hidden="1" s="79">
      <c r="C196" s="20" t="n"/>
      <c r="D196" s="20" t="n"/>
      <c r="E196" s="20" t="n"/>
    </row>
    <row r="197" hidden="1" s="79">
      <c r="C197" s="20" t="n"/>
      <c r="D197" s="20" t="n"/>
      <c r="E197" s="20" t="n"/>
    </row>
    <row r="198" hidden="1" s="79">
      <c r="C198" s="20" t="n"/>
      <c r="D198" s="20" t="n"/>
      <c r="E198" s="20" t="n"/>
      <c r="N198" s="76" t="n"/>
    </row>
    <row r="199" hidden="1" s="79">
      <c r="C199" s="20" t="n"/>
      <c r="D199" s="20" t="n"/>
      <c r="E199" s="20" t="n"/>
      <c r="I199" s="14" t="n"/>
      <c r="J199" s="12" t="n"/>
      <c r="K199" s="14" t="n"/>
    </row>
    <row r="200" hidden="1" s="79">
      <c r="C200" s="20" t="n"/>
      <c r="D200" s="20" t="n"/>
      <c r="E200" s="20" t="n"/>
      <c r="K200" s="14" t="n"/>
    </row>
    <row r="201" hidden="1" s="79">
      <c r="C201" s="20" t="n"/>
      <c r="D201" s="20" t="n"/>
      <c r="E201" s="20" t="n"/>
      <c r="I201" s="14" t="n"/>
      <c r="J201" s="12" t="n"/>
      <c r="K201" s="14" t="n"/>
    </row>
    <row r="202" hidden="1" s="79">
      <c r="C202" s="20" t="n"/>
      <c r="D202" s="20" t="n"/>
      <c r="E202" s="20" t="n"/>
      <c r="I202" s="12" t="n"/>
      <c r="J202" s="12" t="n"/>
      <c r="K202" s="14" t="n"/>
    </row>
    <row r="203" hidden="1" s="79">
      <c r="C203" s="20" t="n"/>
      <c r="D203" s="20" t="n"/>
      <c r="E203" s="20" t="n"/>
      <c r="I203" s="14" t="n"/>
      <c r="J203" s="12" t="n"/>
      <c r="K203" s="14" t="n"/>
    </row>
    <row r="204" hidden="1" s="79">
      <c r="C204" s="20" t="n"/>
      <c r="D204" s="20" t="n"/>
      <c r="E204" s="20" t="n"/>
    </row>
    <row r="205" hidden="1" s="79">
      <c r="C205" s="20" t="n"/>
      <c r="D205" s="20" t="n"/>
      <c r="E205" s="20" t="n"/>
    </row>
    <row r="206" hidden="1" s="79">
      <c r="C206" s="20" t="n"/>
      <c r="D206" s="20" t="n"/>
      <c r="E206" s="20" t="n"/>
      <c r="K206" s="14" t="n"/>
    </row>
    <row r="207" hidden="1" s="79">
      <c r="C207" s="20" t="n"/>
      <c r="D207" s="20" t="n"/>
      <c r="E207" s="20" t="n"/>
    </row>
    <row r="208" hidden="1" s="79">
      <c r="C208" s="20" t="n"/>
      <c r="D208" s="20" t="n"/>
      <c r="E208" s="20" t="n"/>
    </row>
    <row r="209" hidden="1" s="79">
      <c r="C209" s="20" t="n"/>
      <c r="D209" s="20" t="n"/>
      <c r="E209" s="20" t="n"/>
    </row>
    <row r="210" hidden="1" s="79">
      <c r="C210" s="20" t="n"/>
      <c r="D210" s="20" t="n"/>
      <c r="E210" s="20" t="n"/>
    </row>
    <row r="211" hidden="1" s="79">
      <c r="C211" s="20" t="n"/>
      <c r="D211" s="20" t="n"/>
      <c r="E211" s="20" t="n"/>
      <c r="I211" s="14" t="n"/>
      <c r="J211" s="12" t="n"/>
      <c r="K211" s="14" t="n"/>
    </row>
    <row r="212" hidden="1" s="79">
      <c r="C212" s="20" t="n"/>
      <c r="D212" s="20" t="n"/>
      <c r="E212" s="20" t="n"/>
    </row>
    <row r="213" hidden="1" s="79">
      <c r="C213" s="20" t="n"/>
      <c r="D213" s="20" t="n"/>
      <c r="E213" s="20" t="n"/>
      <c r="N213" s="76" t="n"/>
    </row>
    <row r="214" hidden="1" s="79">
      <c r="C214" s="20" t="n"/>
      <c r="D214" s="20" t="n"/>
      <c r="E214" s="20" t="n"/>
    </row>
    <row r="215" hidden="1" s="79">
      <c r="C215" s="20" t="n"/>
      <c r="D215" s="20" t="n"/>
      <c r="E215" s="20" t="n"/>
    </row>
    <row r="216" hidden="1" s="79">
      <c r="C216" s="20" t="n"/>
      <c r="D216" s="20" t="n"/>
      <c r="E216" s="20" t="n"/>
    </row>
    <row r="217" hidden="1" s="79">
      <c r="C217" s="20" t="n"/>
      <c r="D217" s="20" t="n"/>
      <c r="E217" s="20" t="n"/>
      <c r="I217" s="14" t="n"/>
      <c r="J217" s="12" t="n"/>
      <c r="K217" s="14" t="n"/>
      <c r="N217" s="78" t="n"/>
    </row>
    <row r="218" hidden="1" s="79">
      <c r="C218" s="20" t="n"/>
      <c r="D218" s="20" t="n"/>
      <c r="E218" s="20" t="n"/>
    </row>
    <row r="219" hidden="1" s="79">
      <c r="C219" s="20" t="n"/>
      <c r="D219" s="20" t="n"/>
      <c r="E219" s="20" t="n"/>
      <c r="I219" s="14" t="n"/>
      <c r="J219" s="12" t="n"/>
      <c r="K219" s="14" t="n"/>
    </row>
    <row r="220" hidden="1" s="79">
      <c r="C220" s="20" t="n"/>
      <c r="D220" s="20" t="n"/>
      <c r="E220" s="20" t="n"/>
    </row>
    <row r="221" hidden="1" s="79">
      <c r="C221" s="20" t="n"/>
      <c r="D221" s="20" t="n"/>
      <c r="E221" s="20" t="n"/>
    </row>
    <row r="222" hidden="1" s="79">
      <c r="C222" s="20" t="n"/>
      <c r="D222" s="20" t="n"/>
      <c r="E222" s="20" t="n"/>
    </row>
    <row r="223" hidden="1" s="79">
      <c r="C223" s="20" t="n"/>
      <c r="D223" s="20" t="n"/>
      <c r="E223" s="20" t="n"/>
    </row>
    <row r="224" hidden="1" s="79">
      <c r="C224" s="20" t="n"/>
      <c r="D224" s="20" t="n"/>
      <c r="E224" s="20" t="n"/>
    </row>
    <row r="225" hidden="1" s="79">
      <c r="C225" s="20" t="n"/>
      <c r="D225" s="20" t="n"/>
      <c r="E225" s="20" t="n"/>
      <c r="N225" s="76" t="n"/>
    </row>
    <row r="226" hidden="1" s="79">
      <c r="C226" s="20" t="n"/>
      <c r="D226" s="20" t="n"/>
      <c r="E226" s="20" t="n"/>
      <c r="N226" s="76" t="n"/>
    </row>
    <row r="227" hidden="1" s="79">
      <c r="C227" s="20" t="n"/>
      <c r="D227" s="20" t="n"/>
      <c r="E227" s="20" t="n"/>
    </row>
    <row r="228" hidden="1" s="79">
      <c r="C228" s="20" t="n"/>
      <c r="D228" s="20" t="n"/>
      <c r="E228" s="20" t="n"/>
    </row>
    <row r="229" hidden="1" s="79">
      <c r="C229" s="20" t="n"/>
      <c r="D229" s="20" t="n"/>
      <c r="E229" s="20" t="n"/>
    </row>
    <row r="230" hidden="1" s="79">
      <c r="C230" s="20" t="n"/>
      <c r="D230" s="20" t="n"/>
      <c r="E230" s="20" t="n"/>
    </row>
    <row r="231" hidden="1" s="79">
      <c r="C231" s="20" t="n"/>
      <c r="D231" s="20" t="n"/>
      <c r="E231" s="20" t="n"/>
    </row>
    <row r="232" hidden="1" s="79">
      <c r="C232" s="20" t="n"/>
      <c r="D232" s="20" t="n"/>
      <c r="E232" s="20" t="n"/>
      <c r="N232" s="76" t="n"/>
    </row>
    <row r="233" hidden="1" s="79">
      <c r="C233" s="20" t="n"/>
      <c r="D233" s="20" t="n"/>
      <c r="E233" s="20" t="n"/>
    </row>
    <row r="234" hidden="1" s="79">
      <c r="C234" s="20" t="n"/>
      <c r="D234" s="20" t="n"/>
      <c r="E234" s="20" t="n"/>
    </row>
    <row r="235" hidden="1" s="79">
      <c r="C235" s="20" t="n"/>
      <c r="D235" s="20" t="n"/>
      <c r="E235" s="20" t="n"/>
      <c r="I235" s="14" t="n"/>
      <c r="J235" s="12" t="n"/>
      <c r="K235" s="14" t="n"/>
    </row>
    <row r="236" hidden="1" s="79">
      <c r="C236" s="20" t="n"/>
      <c r="D236" s="20" t="n"/>
      <c r="E236" s="20" t="n"/>
    </row>
    <row r="237" hidden="1" s="79">
      <c r="C237" s="20" t="n"/>
      <c r="D237" s="20" t="n"/>
      <c r="E237" s="20" t="n"/>
    </row>
    <row r="238" hidden="1" s="79">
      <c r="C238" s="20" t="n"/>
      <c r="D238" s="20" t="n"/>
      <c r="E238" s="20" t="n"/>
      <c r="N238" s="76" t="n"/>
    </row>
    <row r="239" hidden="1" s="79">
      <c r="C239" s="20" t="n"/>
      <c r="D239" s="20" t="n"/>
      <c r="E239" s="20" t="n"/>
    </row>
    <row r="240" hidden="1" s="79">
      <c r="C240" s="20" t="n"/>
      <c r="D240" s="20" t="n"/>
      <c r="E240" s="20" t="n"/>
    </row>
    <row r="241" hidden="1" s="79">
      <c r="C241" s="20" t="n"/>
      <c r="D241" s="20" t="n"/>
      <c r="E241" s="20" t="n"/>
    </row>
    <row r="242" hidden="1" s="79">
      <c r="C242" s="20" t="n"/>
      <c r="D242" s="20" t="n"/>
      <c r="E242" s="20" t="n"/>
    </row>
    <row r="243" hidden="1" s="79">
      <c r="C243" s="20" t="n"/>
      <c r="D243" s="20" t="n"/>
      <c r="E243" s="20" t="n"/>
    </row>
    <row r="244" hidden="1" s="79">
      <c r="C244" s="20" t="n"/>
      <c r="D244" s="20" t="n"/>
      <c r="E244" s="20" t="n"/>
    </row>
    <row r="245" hidden="1" s="79">
      <c r="C245" s="20" t="n"/>
      <c r="D245" s="20" t="n"/>
      <c r="E245" s="20" t="n"/>
    </row>
    <row r="246" hidden="1" s="79">
      <c r="C246" s="20" t="n"/>
      <c r="D246" s="20" t="n"/>
      <c r="E246" s="20" t="n"/>
    </row>
    <row r="247" hidden="1" s="79">
      <c r="C247" s="20" t="n"/>
      <c r="D247" s="20" t="n"/>
      <c r="E247" s="20" t="n"/>
    </row>
    <row r="248" hidden="1" s="79">
      <c r="C248" s="20" t="n"/>
      <c r="D248" s="20" t="n"/>
      <c r="E248" s="20" t="n"/>
    </row>
    <row r="249" hidden="1" s="79">
      <c r="C249" s="20" t="n"/>
      <c r="D249" s="20" t="n"/>
      <c r="E249" s="20" t="n"/>
    </row>
    <row r="250" hidden="1" s="79">
      <c r="C250" s="20" t="n"/>
      <c r="D250" s="20" t="n"/>
      <c r="E250" s="20" t="n"/>
    </row>
    <row r="251" hidden="1" s="79">
      <c r="C251" s="20" t="n"/>
      <c r="D251" s="20" t="n"/>
      <c r="E251" s="20" t="n"/>
    </row>
    <row r="252" hidden="1" s="79">
      <c r="C252" s="20" t="n"/>
      <c r="D252" s="20" t="n"/>
      <c r="E252" s="20" t="n"/>
    </row>
    <row r="253" hidden="1" s="79">
      <c r="C253" s="20" t="n"/>
      <c r="D253" s="20" t="n"/>
      <c r="E253" s="20" t="n"/>
    </row>
    <row r="254" hidden="1" s="79">
      <c r="C254" s="20" t="n"/>
      <c r="D254" s="20" t="n"/>
      <c r="E254" s="20" t="n"/>
    </row>
    <row r="255" hidden="1" s="79">
      <c r="C255" s="20" t="n"/>
      <c r="D255" s="20" t="n"/>
      <c r="E255" s="20" t="n"/>
      <c r="N255" s="76" t="n"/>
    </row>
    <row r="256" hidden="1" s="79">
      <c r="C256" s="20" t="n"/>
      <c r="D256" s="20" t="n"/>
      <c r="E256" s="20" t="n"/>
      <c r="N256" s="76" t="n"/>
    </row>
    <row r="257" hidden="1" s="79">
      <c r="C257" s="20" t="n"/>
      <c r="D257" s="20" t="n"/>
      <c r="E257" s="20" t="n"/>
    </row>
    <row r="258" hidden="1" s="79">
      <c r="C258" s="20" t="n"/>
      <c r="D258" s="20" t="n"/>
      <c r="E258" s="20" t="n"/>
      <c r="N258" s="76" t="n"/>
    </row>
    <row r="259" hidden="1" s="79">
      <c r="C259" s="20" t="n"/>
      <c r="D259" s="20" t="n"/>
      <c r="E259" s="20" t="n"/>
    </row>
    <row r="260" hidden="1" s="79">
      <c r="C260" s="20" t="n"/>
      <c r="D260" s="20" t="n"/>
      <c r="E260" s="20" t="n"/>
    </row>
    <row r="261" hidden="1" s="79">
      <c r="C261" s="20" t="n"/>
      <c r="D261" s="20" t="n"/>
      <c r="E261" s="20" t="n"/>
    </row>
    <row r="262" hidden="1" s="79">
      <c r="C262" s="20" t="n"/>
      <c r="D262" s="20" t="n"/>
      <c r="E262" s="20" t="n"/>
    </row>
    <row r="263" hidden="1" s="79">
      <c r="C263" s="20" t="n"/>
      <c r="D263" s="20" t="n"/>
      <c r="E263" s="20" t="n"/>
    </row>
    <row r="264" hidden="1" s="79">
      <c r="C264" s="20" t="n"/>
      <c r="D264" s="20" t="n"/>
      <c r="E264" s="20" t="n"/>
      <c r="N264" s="76" t="n"/>
    </row>
    <row r="265" hidden="1" s="79">
      <c r="C265" s="20" t="n"/>
      <c r="D265" s="20" t="n"/>
      <c r="E265" s="20" t="n"/>
    </row>
    <row r="266" hidden="1" s="79">
      <c r="C266" s="20" t="n"/>
      <c r="D266" s="20" t="n"/>
      <c r="E266" s="20" t="n"/>
    </row>
    <row r="267" hidden="1" s="79">
      <c r="C267" s="20" t="n"/>
      <c r="D267" s="20" t="n"/>
      <c r="E267" s="20" t="n"/>
    </row>
    <row r="268" hidden="1" s="79">
      <c r="C268" s="20" t="n"/>
      <c r="D268" s="20" t="n"/>
      <c r="E268" s="20" t="n"/>
    </row>
    <row r="269" hidden="1" s="79">
      <c r="C269" s="20" t="n"/>
      <c r="D269" s="20" t="n"/>
      <c r="E269" s="20" t="n"/>
    </row>
    <row r="270" hidden="1" s="79">
      <c r="C270" s="20" t="n"/>
      <c r="D270" s="20" t="n"/>
      <c r="E270" s="20" t="n"/>
    </row>
    <row r="271" hidden="1" s="79">
      <c r="C271" s="20" t="n"/>
      <c r="D271" s="20" t="n"/>
      <c r="E271" s="20" t="n"/>
    </row>
    <row r="272" hidden="1" s="79">
      <c r="C272" s="20" t="n"/>
      <c r="D272" s="20" t="n"/>
      <c r="E272" s="20" t="n"/>
    </row>
    <row r="273" hidden="1" s="79">
      <c r="C273" s="20" t="n"/>
      <c r="D273" s="20" t="n"/>
      <c r="E273" s="20" t="n"/>
    </row>
    <row r="274" hidden="1" s="79">
      <c r="C274" s="20" t="n"/>
      <c r="D274" s="20" t="n"/>
      <c r="E274" s="20" t="n"/>
      <c r="N274" s="76" t="n"/>
    </row>
    <row r="275" hidden="1" s="79">
      <c r="C275" s="20" t="n"/>
      <c r="D275" s="20" t="n"/>
      <c r="E275" s="20" t="n"/>
      <c r="I275" s="12" t="n"/>
      <c r="J275" s="57" t="n"/>
    </row>
    <row r="276" hidden="1" s="79">
      <c r="C276" s="20" t="n"/>
      <c r="D276" s="20" t="n"/>
      <c r="E276" s="20" t="n"/>
    </row>
    <row r="277" hidden="1" s="79">
      <c r="C277" s="20" t="n"/>
      <c r="D277" s="20" t="n"/>
      <c r="E277" s="20" t="n"/>
    </row>
    <row r="278" hidden="1" s="79">
      <c r="C278" s="20" t="n"/>
      <c r="D278" s="20" t="n"/>
      <c r="E278" s="20" t="n"/>
      <c r="N278" s="76" t="n"/>
    </row>
    <row r="279" hidden="1" s="79">
      <c r="C279" s="20" t="n"/>
      <c r="D279" s="20" t="n"/>
      <c r="E279" s="20" t="n"/>
    </row>
    <row r="280" hidden="1" s="79">
      <c r="C280" s="20" t="n"/>
      <c r="D280" s="20" t="n"/>
      <c r="E280" s="20" t="n"/>
    </row>
    <row r="281" hidden="1" s="79">
      <c r="C281" s="20" t="n"/>
      <c r="D281" s="20" t="n"/>
      <c r="E281" s="20" t="n"/>
    </row>
    <row r="282" hidden="1" s="79">
      <c r="C282" s="20" t="n"/>
      <c r="D282" s="20" t="n"/>
      <c r="E282" s="20" t="n"/>
    </row>
    <row r="283" hidden="1" s="79">
      <c r="C283" s="20" t="n"/>
      <c r="D283" s="20" t="n"/>
      <c r="E283" s="20" t="n"/>
    </row>
    <row r="284" hidden="1" s="79">
      <c r="C284" s="20" t="n"/>
      <c r="D284" s="20" t="n"/>
      <c r="E284" s="20" t="n"/>
    </row>
    <row r="285" hidden="1" s="79">
      <c r="C285" s="20" t="n"/>
      <c r="D285" s="20" t="n"/>
      <c r="E285" s="20" t="n"/>
    </row>
    <row r="286" hidden="1" s="79">
      <c r="C286" s="20" t="n"/>
      <c r="D286" s="20" t="n"/>
      <c r="E286" s="20" t="n"/>
    </row>
    <row r="287" hidden="1" s="79">
      <c r="C287" s="20" t="n"/>
      <c r="D287" s="20" t="n"/>
      <c r="E287" s="20" t="n"/>
    </row>
    <row r="288" hidden="1" s="79">
      <c r="C288" s="20" t="n"/>
      <c r="D288" s="20" t="n"/>
      <c r="E288" s="20" t="n"/>
      <c r="J288" s="12" t="n"/>
      <c r="N288" s="76" t="n"/>
    </row>
    <row r="289" hidden="1" s="79">
      <c r="C289" s="20" t="n"/>
      <c r="D289" s="20" t="n"/>
      <c r="E289" s="20" t="n"/>
      <c r="N289" s="76" t="n"/>
    </row>
    <row r="290" hidden="1" s="79">
      <c r="C290" s="20" t="n"/>
      <c r="D290" s="20" t="n"/>
      <c r="E290" s="20" t="n"/>
    </row>
    <row r="291" hidden="1" s="79">
      <c r="C291" s="20" t="n"/>
      <c r="D291" s="20" t="n"/>
      <c r="E291" s="20" t="n"/>
    </row>
    <row r="292" hidden="1" s="79">
      <c r="C292" s="20" t="n"/>
      <c r="D292" s="20" t="n"/>
      <c r="E292" s="20" t="n"/>
    </row>
    <row r="293" hidden="1" s="79">
      <c r="C293" s="20" t="n"/>
      <c r="D293" s="20" t="n"/>
      <c r="E293" s="20" t="n"/>
    </row>
    <row r="294" hidden="1" s="79">
      <c r="C294" s="20" t="n"/>
      <c r="D294" s="20" t="n"/>
      <c r="E294" s="20" t="n"/>
    </row>
    <row r="295" hidden="1" s="79">
      <c r="C295" s="20" t="n"/>
      <c r="D295" s="20" t="n"/>
      <c r="E295" s="20" t="n"/>
    </row>
    <row r="296" hidden="1" s="79">
      <c r="C296" s="20" t="n"/>
      <c r="D296" s="20" t="n"/>
      <c r="E296" s="20" t="n"/>
      <c r="N296" s="76" t="n"/>
    </row>
    <row r="297" hidden="1" s="79">
      <c r="C297" s="20" t="n"/>
      <c r="D297" s="20" t="n"/>
      <c r="E297" s="20" t="n"/>
      <c r="N297" s="76" t="n"/>
    </row>
    <row r="298" hidden="1" s="79">
      <c r="C298" s="20" t="n"/>
      <c r="D298" s="20" t="n"/>
      <c r="E298" s="20" t="n"/>
    </row>
    <row r="299" hidden="1" s="79">
      <c r="C299" s="20" t="n"/>
      <c r="D299" s="20" t="n"/>
      <c r="E299" s="20" t="n"/>
    </row>
    <row r="300" hidden="1" s="79">
      <c r="C300" s="20" t="n"/>
      <c r="D300" s="20" t="n"/>
      <c r="E300" s="20" t="n"/>
    </row>
    <row r="301" hidden="1" s="79">
      <c r="C301" s="20" t="n"/>
      <c r="D301" s="20" t="n"/>
      <c r="E301" s="20" t="n"/>
    </row>
    <row r="302" hidden="1" s="79">
      <c r="C302" s="20" t="n"/>
      <c r="D302" s="20" t="n"/>
      <c r="E302" s="20" t="n"/>
    </row>
    <row r="303" hidden="1" s="79">
      <c r="C303" s="20" t="n"/>
      <c r="D303" s="20" t="n"/>
      <c r="E303" s="20" t="n"/>
      <c r="I303" s="12" t="n"/>
      <c r="J303" s="12" t="n"/>
    </row>
    <row r="304" hidden="1" s="79">
      <c r="C304" s="20" t="n"/>
      <c r="D304" s="20" t="n"/>
      <c r="E304" s="20" t="n"/>
    </row>
    <row r="305" hidden="1" s="79">
      <c r="C305" s="20" t="n"/>
      <c r="D305" s="20" t="n"/>
      <c r="E305" s="20" t="n"/>
    </row>
    <row r="306" hidden="1" s="79">
      <c r="C306" s="20" t="n"/>
      <c r="D306" s="20" t="n"/>
      <c r="E306" s="20" t="n"/>
    </row>
    <row r="307" hidden="1" s="79">
      <c r="C307" s="20" t="n"/>
      <c r="D307" s="20" t="n"/>
      <c r="E307" s="20" t="n"/>
    </row>
    <row r="308" hidden="1" s="79">
      <c r="C308" s="20" t="n"/>
      <c r="D308" s="20" t="n"/>
      <c r="E308" s="20" t="n"/>
    </row>
    <row r="309" hidden="1" s="79">
      <c r="C309" s="20" t="n"/>
      <c r="D309" s="20" t="n"/>
      <c r="E309" s="20" t="n"/>
    </row>
    <row r="310" hidden="1" s="79">
      <c r="C310" s="20" t="n"/>
      <c r="D310" s="20" t="n"/>
      <c r="E310" s="20" t="n"/>
    </row>
    <row r="311" hidden="1" s="79">
      <c r="C311" s="20" t="n"/>
      <c r="D311" s="20" t="n"/>
      <c r="E311" s="20" t="n"/>
    </row>
    <row r="312" hidden="1" s="79">
      <c r="C312" s="20" t="n"/>
      <c r="D312" s="20" t="n"/>
      <c r="E312" s="20" t="n"/>
    </row>
    <row r="313" hidden="1" s="79">
      <c r="C313" s="20" t="n"/>
      <c r="D313" s="20" t="n"/>
      <c r="E313" s="20" t="n"/>
    </row>
    <row r="314" hidden="1" s="79">
      <c r="C314" s="20" t="n"/>
      <c r="D314" s="20" t="n"/>
      <c r="E314" s="20" t="n"/>
    </row>
    <row r="315" hidden="1" s="79">
      <c r="C315" s="20" t="n"/>
      <c r="D315" s="20" t="n"/>
      <c r="E315" s="20" t="n"/>
    </row>
    <row r="316" hidden="1" s="79">
      <c r="C316" s="20" t="n"/>
      <c r="D316" s="20" t="n"/>
      <c r="E316" s="20" t="n"/>
    </row>
    <row r="317" hidden="1" s="79">
      <c r="C317" s="20" t="n"/>
      <c r="D317" s="20" t="n"/>
      <c r="E317" s="20" t="n"/>
    </row>
    <row r="318" hidden="1" s="79">
      <c r="C318" s="20" t="n"/>
      <c r="D318" s="20" t="n"/>
      <c r="E318" s="20" t="n"/>
    </row>
    <row r="319" hidden="1" s="79">
      <c r="C319" s="20" t="n"/>
      <c r="D319" s="20" t="n"/>
      <c r="E319" s="20" t="n"/>
    </row>
    <row r="320" hidden="1" s="79">
      <c r="C320" s="20" t="n"/>
      <c r="D320" s="20" t="n"/>
      <c r="E320" s="20" t="n"/>
    </row>
    <row r="321" hidden="1" s="79">
      <c r="C321" s="20" t="n"/>
      <c r="D321" s="20" t="n"/>
      <c r="E321" s="20" t="n"/>
    </row>
    <row r="322" hidden="1" s="79">
      <c r="C322" s="20" t="n"/>
      <c r="D322" s="20" t="n"/>
      <c r="E322" s="20" t="n"/>
    </row>
    <row r="323" hidden="1" s="79">
      <c r="C323" s="20" t="n"/>
      <c r="D323" s="20" t="n"/>
      <c r="E323" s="20" t="n"/>
    </row>
    <row r="324" hidden="1" s="79">
      <c r="C324" s="20" t="n"/>
      <c r="D324" s="20" t="n"/>
      <c r="E324" s="20" t="n"/>
    </row>
    <row r="325" hidden="1" s="79">
      <c r="C325" s="20" t="n"/>
      <c r="D325" s="20" t="n"/>
      <c r="E325" s="20" t="n"/>
    </row>
    <row r="326" hidden="1" s="79">
      <c r="C326" s="20" t="n"/>
      <c r="D326" s="20" t="n"/>
      <c r="E326" s="20" t="n"/>
    </row>
    <row r="327" hidden="1" s="79">
      <c r="C327" s="20" t="n"/>
      <c r="D327" s="20" t="n"/>
      <c r="E327" s="20" t="n"/>
    </row>
    <row r="328" hidden="1" s="79">
      <c r="C328" s="20" t="n"/>
      <c r="D328" s="20" t="n"/>
      <c r="E328" s="20" t="n"/>
    </row>
    <row r="329" hidden="1" s="79">
      <c r="C329" s="20" t="n"/>
      <c r="D329" s="20" t="n"/>
      <c r="E329" s="20" t="n"/>
    </row>
    <row r="330" hidden="1" s="79">
      <c r="C330" s="20" t="n"/>
      <c r="D330" s="20" t="n"/>
      <c r="E330" s="20" t="n"/>
    </row>
    <row r="331" hidden="1" s="79">
      <c r="C331" s="20" t="n"/>
      <c r="D331" s="20" t="n"/>
      <c r="E331" s="20" t="n"/>
    </row>
    <row r="332" hidden="1" s="79">
      <c r="C332" s="20" t="n"/>
      <c r="D332" s="20" t="n"/>
      <c r="E332" s="20" t="n"/>
    </row>
    <row r="333" hidden="1" s="79">
      <c r="C333" s="20" t="n"/>
      <c r="D333" s="20" t="n"/>
      <c r="E333" s="20" t="n"/>
    </row>
    <row r="334" hidden="1" s="79">
      <c r="C334" s="20" t="n"/>
      <c r="D334" s="20" t="n"/>
      <c r="E334" s="20" t="n"/>
    </row>
    <row r="335" hidden="1" s="79">
      <c r="C335" s="20" t="n"/>
      <c r="D335" s="20" t="n"/>
      <c r="E335" s="20" t="n"/>
    </row>
    <row r="336" hidden="1" s="79">
      <c r="C336" s="20" t="n"/>
      <c r="D336" s="20" t="n"/>
      <c r="E336" s="20" t="n"/>
    </row>
    <row r="337" hidden="1" s="79">
      <c r="C337" s="20" t="n"/>
      <c r="D337" s="20" t="n"/>
      <c r="E337" s="20" t="n"/>
    </row>
    <row r="338" hidden="1" s="79">
      <c r="C338" s="20" t="n"/>
      <c r="D338" s="20" t="n"/>
      <c r="E338" s="20" t="n"/>
    </row>
    <row r="339" hidden="1" s="79">
      <c r="C339" s="20" t="n"/>
      <c r="D339" s="20" t="n"/>
      <c r="E339" s="20" t="n"/>
    </row>
    <row r="340" hidden="1" s="79">
      <c r="C340" s="20" t="n"/>
      <c r="D340" s="20" t="n"/>
      <c r="E340" s="20" t="n"/>
    </row>
    <row r="341" hidden="1" s="79">
      <c r="C341" s="20" t="n"/>
      <c r="D341" s="20" t="n"/>
      <c r="E341" s="20" t="n"/>
    </row>
    <row r="342" hidden="1" s="79">
      <c r="C342" s="20" t="n"/>
      <c r="D342" s="20" t="n"/>
      <c r="E342" s="20" t="n"/>
    </row>
    <row r="343" hidden="1" s="79">
      <c r="C343" s="20" t="n"/>
      <c r="D343" s="20" t="n"/>
      <c r="E343" s="20" t="n"/>
    </row>
    <row r="344" hidden="1" s="79">
      <c r="C344" s="20" t="n"/>
      <c r="D344" s="20" t="n"/>
      <c r="E344" s="20" t="n"/>
    </row>
    <row r="345" hidden="1" s="79">
      <c r="C345" s="20" t="n"/>
      <c r="D345" s="20" t="n"/>
      <c r="E345" s="20" t="n"/>
    </row>
    <row r="346" hidden="1" s="79">
      <c r="C346" s="20" t="n"/>
      <c r="D346" s="20" t="n"/>
      <c r="E346" s="20" t="n"/>
    </row>
    <row r="347" hidden="1" customFormat="1" s="1">
      <c r="A347" s="74" t="n"/>
      <c r="B347" s="12" t="n"/>
      <c r="C347" s="20" t="n"/>
      <c r="D347" s="20" t="n"/>
      <c r="E347" s="20" t="n"/>
      <c r="F347" s="12" t="n"/>
      <c r="G347" s="12" t="n"/>
      <c r="H347" s="12" t="n"/>
      <c r="I347" s="38" t="n"/>
      <c r="J347" s="39" t="n"/>
      <c r="K347" s="38" t="n"/>
      <c r="L347" s="75" t="n"/>
      <c r="M347" s="12" t="n"/>
      <c r="N347" s="76" t="n"/>
      <c r="O347" s="12" t="n"/>
      <c r="P347" s="12" t="n"/>
      <c r="Q347" s="12" t="n"/>
      <c r="R347" s="77" t="n"/>
    </row>
    <row r="348" hidden="1" s="79">
      <c r="C348" s="20" t="n"/>
      <c r="D348" s="20" t="n"/>
      <c r="E348" s="20" t="n"/>
    </row>
    <row r="349" hidden="1" s="79">
      <c r="C349" s="20" t="n"/>
      <c r="D349" s="20" t="n"/>
      <c r="E349" s="20" t="n"/>
    </row>
    <row r="350" hidden="1" s="79">
      <c r="C350" s="20" t="n"/>
      <c r="D350" s="20" t="n"/>
      <c r="E350" s="20" t="n"/>
    </row>
    <row r="351" hidden="1" s="79">
      <c r="C351" s="20" t="n"/>
      <c r="D351" s="20" t="n"/>
      <c r="E351" s="20" t="n"/>
      <c r="I351" s="12" t="n"/>
      <c r="J351" s="12" t="n"/>
    </row>
    <row r="352" hidden="1" s="79">
      <c r="C352" s="20" t="n"/>
      <c r="D352" s="20" t="n"/>
      <c r="E352" s="20" t="n"/>
    </row>
    <row r="353" hidden="1" s="79">
      <c r="C353" s="20" t="n"/>
      <c r="D353" s="20" t="n"/>
      <c r="E353" s="20" t="n"/>
      <c r="N353" s="76" t="n"/>
    </row>
    <row r="354" hidden="1" s="79">
      <c r="C354" s="20" t="n"/>
      <c r="D354" s="20" t="n"/>
      <c r="E354" s="20" t="n"/>
    </row>
    <row r="355" hidden="1" s="79">
      <c r="C355" s="20" t="n"/>
      <c r="D355" s="20" t="n"/>
      <c r="E355" s="20" t="n"/>
    </row>
    <row r="356" hidden="1" s="79">
      <c r="C356" s="20" t="n"/>
      <c r="D356" s="20" t="n"/>
      <c r="E356" s="20" t="n"/>
    </row>
    <row r="357" hidden="1" s="79">
      <c r="C357" s="20" t="n"/>
      <c r="D357" s="20" t="n"/>
      <c r="E357" s="20" t="n"/>
      <c r="N357" s="76" t="n"/>
    </row>
    <row r="358" hidden="1" s="79">
      <c r="C358" s="20" t="n"/>
      <c r="D358" s="20" t="n"/>
      <c r="E358" s="20" t="n"/>
    </row>
    <row r="359" hidden="1" s="79">
      <c r="C359" s="20" t="n"/>
      <c r="D359" s="20" t="n"/>
      <c r="E359" s="20" t="n"/>
    </row>
    <row r="360" hidden="1" s="79">
      <c r="C360" s="20" t="n"/>
      <c r="D360" s="20" t="n"/>
      <c r="E360" s="20" t="n"/>
    </row>
    <row r="361" hidden="1" s="79">
      <c r="C361" s="20" t="n"/>
      <c r="D361" s="20" t="n"/>
      <c r="E361" s="20" t="n"/>
    </row>
    <row r="362" hidden="1" s="79">
      <c r="C362" s="20" t="n"/>
      <c r="D362" s="20" t="n"/>
      <c r="E362" s="20" t="n"/>
    </row>
    <row r="363" hidden="1" s="79">
      <c r="C363" s="20" t="n"/>
      <c r="D363" s="20" t="n"/>
      <c r="E363" s="20" t="n"/>
      <c r="N363" s="76" t="n"/>
    </row>
    <row r="364" hidden="1" s="79">
      <c r="C364" s="20" t="n"/>
      <c r="D364" s="20" t="n"/>
      <c r="E364" s="20" t="n"/>
      <c r="N364" s="76" t="n"/>
    </row>
    <row r="365" hidden="1" s="79">
      <c r="C365" s="20" t="n"/>
      <c r="D365" s="20" t="n"/>
      <c r="E365" s="20" t="n"/>
      <c r="N365" s="76" t="n"/>
    </row>
    <row r="366" hidden="1" s="79">
      <c r="C366" s="20" t="n"/>
      <c r="D366" s="20" t="n"/>
      <c r="E366" s="20" t="n"/>
      <c r="N366" s="76" t="n"/>
    </row>
    <row r="367" hidden="1" s="79">
      <c r="C367" s="20" t="n"/>
      <c r="D367" s="20" t="n"/>
      <c r="E367" s="20" t="n"/>
      <c r="N367" s="76" t="n"/>
    </row>
    <row r="368" hidden="1" s="79">
      <c r="C368" s="20" t="n"/>
      <c r="D368" s="20" t="n"/>
      <c r="E368" s="20" t="n"/>
      <c r="N368" s="76" t="n"/>
    </row>
    <row r="369" hidden="1" s="79">
      <c r="C369" s="20" t="n"/>
      <c r="D369" s="20" t="n"/>
      <c r="E369" s="20" t="n"/>
      <c r="N369" s="76" t="n"/>
    </row>
    <row r="370" hidden="1" s="79">
      <c r="C370" s="20" t="n"/>
      <c r="D370" s="20" t="n"/>
      <c r="E370" s="20" t="n"/>
      <c r="N370" s="76" t="n"/>
    </row>
    <row r="371" hidden="1" s="79">
      <c r="C371" s="20" t="n"/>
      <c r="D371" s="20" t="n"/>
      <c r="E371" s="20" t="n"/>
    </row>
    <row r="372" hidden="1" s="79">
      <c r="C372" s="20" t="n"/>
      <c r="D372" s="20" t="n"/>
      <c r="E372" s="20" t="n"/>
    </row>
    <row r="373" hidden="1" s="79">
      <c r="C373" s="20" t="n"/>
      <c r="D373" s="20" t="n"/>
      <c r="E373" s="20" t="n"/>
    </row>
    <row r="374" hidden="1" s="79">
      <c r="C374" s="20" t="n"/>
      <c r="D374" s="20" t="n"/>
      <c r="E374" s="20" t="n"/>
    </row>
    <row r="375" hidden="1" s="79">
      <c r="C375" s="20" t="n"/>
      <c r="D375" s="20" t="n"/>
      <c r="E375" s="20" t="n"/>
    </row>
    <row r="376" hidden="1" s="79">
      <c r="C376" s="20" t="n"/>
      <c r="D376" s="20" t="n"/>
      <c r="E376" s="20" t="n"/>
    </row>
    <row r="377" hidden="1" s="79">
      <c r="C377" s="20" t="n"/>
      <c r="D377" s="20" t="n"/>
      <c r="E377" s="20" t="n"/>
    </row>
    <row r="378" hidden="1" s="79">
      <c r="C378" s="20" t="n"/>
      <c r="D378" s="20" t="n"/>
      <c r="E378" s="20" t="n"/>
    </row>
    <row r="379" hidden="1" s="79">
      <c r="C379" s="20" t="n"/>
      <c r="D379" s="20" t="n"/>
      <c r="E379" s="20" t="n"/>
    </row>
    <row r="380" hidden="1" ht="18.75" customHeight="1" s="79">
      <c r="C380" s="20" t="n"/>
      <c r="D380" s="20" t="n"/>
      <c r="E380" s="20" t="n"/>
    </row>
    <row r="381" hidden="1" ht="18.75" customHeight="1" s="79">
      <c r="C381" s="20" t="n"/>
      <c r="D381" s="20" t="n"/>
      <c r="E381" s="20" t="n"/>
    </row>
    <row r="382" hidden="1" ht="18.75" customHeight="1" s="79"/>
    <row r="383" hidden="1" s="79">
      <c r="C383" s="20" t="n"/>
      <c r="D383" s="20" t="n"/>
      <c r="E383" s="20" t="n"/>
    </row>
    <row r="384" hidden="1" ht="18" customHeight="1" s="79">
      <c r="C384" s="20" t="n"/>
      <c r="D384" s="20" t="n"/>
      <c r="E384" s="20" t="n"/>
    </row>
    <row r="385" hidden="1" ht="19.5" customHeight="1" s="79">
      <c r="C385" s="20" t="n"/>
      <c r="D385" s="20" t="n"/>
      <c r="E385" s="20" t="n"/>
    </row>
    <row r="386" hidden="1" ht="18.75" customHeight="1" s="79">
      <c r="C386" s="20" t="n"/>
      <c r="D386" s="20" t="n"/>
      <c r="E386" s="20" t="n"/>
    </row>
    <row r="387" hidden="1" s="79">
      <c r="C387" s="20" t="n"/>
      <c r="D387" s="20" t="n"/>
      <c r="E387" s="20" t="n"/>
    </row>
    <row r="388" hidden="1" ht="18" customHeight="1" s="79">
      <c r="C388" s="20" t="n"/>
      <c r="D388" s="20" t="n"/>
      <c r="E388" s="20" t="n"/>
    </row>
    <row r="389" hidden="1" ht="19.5" customHeight="1" s="79">
      <c r="C389" s="20" t="n"/>
      <c r="D389" s="20" t="n"/>
      <c r="E389" s="20" t="n"/>
    </row>
    <row r="390" hidden="1" ht="18.75" customHeight="1" s="79">
      <c r="C390" s="20" t="n"/>
      <c r="D390" s="20" t="n"/>
      <c r="E390" s="20" t="n"/>
    </row>
    <row r="391" hidden="1" ht="18.75" customHeight="1" s="79">
      <c r="C391" s="20" t="n"/>
      <c r="D391" s="20" t="n"/>
      <c r="E391" s="20" t="n"/>
    </row>
    <row r="392" hidden="1" ht="19.5" customHeight="1" s="79">
      <c r="C392" s="20" t="n"/>
      <c r="D392" s="20" t="n"/>
      <c r="E392" s="20" t="n"/>
    </row>
    <row r="393" hidden="1" ht="19.5" customHeight="1" s="79">
      <c r="C393" s="20" t="n"/>
      <c r="D393" s="20" t="n"/>
      <c r="E393" s="20" t="n"/>
    </row>
    <row r="394" hidden="1" ht="19.5" customHeight="1" s="79">
      <c r="C394" s="20" t="n"/>
      <c r="D394" s="20" t="n"/>
      <c r="E394" s="20" t="n"/>
    </row>
    <row r="395" hidden="1" ht="19.5" customHeight="1" s="79">
      <c r="C395" s="20" t="n"/>
      <c r="D395" s="20" t="n"/>
      <c r="E395" s="20" t="n"/>
    </row>
    <row r="396" hidden="1" ht="19.5" customHeight="1" s="79">
      <c r="C396" s="20" t="n"/>
      <c r="D396" s="20" t="n"/>
      <c r="E396" s="20" t="n"/>
    </row>
    <row r="397" hidden="1" ht="19.5" customHeight="1" s="79">
      <c r="C397" s="20" t="n"/>
      <c r="D397" s="20" t="n"/>
      <c r="E397" s="20" t="n"/>
    </row>
    <row r="398" hidden="1" ht="18.75" customHeight="1" s="79">
      <c r="C398" s="20" t="n"/>
      <c r="D398" s="20" t="n"/>
      <c r="E398" s="20" t="n"/>
    </row>
    <row r="399" hidden="1" ht="18.75" customHeight="1" s="79">
      <c r="C399" s="20" t="n"/>
      <c r="D399" s="20" t="n"/>
      <c r="E399" s="20" t="n"/>
    </row>
    <row r="400" hidden="1" ht="18.75" customHeight="1" s="79">
      <c r="C400" s="20" t="n"/>
      <c r="D400" s="20" t="n"/>
      <c r="E400" s="20" t="n"/>
    </row>
    <row r="401" hidden="1" ht="18.75" customHeight="1" s="79">
      <c r="C401" s="20" t="n"/>
      <c r="D401" s="20" t="n"/>
      <c r="E401" s="20" t="n"/>
    </row>
    <row r="402" hidden="1" ht="19.5" customHeight="1" s="79">
      <c r="C402" s="20" t="n"/>
      <c r="D402" s="20" t="n"/>
      <c r="E402" s="20" t="n"/>
    </row>
    <row r="403" hidden="1" ht="18" customHeight="1" s="79">
      <c r="C403" s="20" t="n"/>
      <c r="D403" s="20" t="n"/>
      <c r="E403" s="20" t="n"/>
    </row>
    <row r="404" hidden="1" ht="18.75" customHeight="1" s="79">
      <c r="C404" s="20" t="n"/>
      <c r="D404" s="20" t="n"/>
      <c r="E404" s="20" t="n"/>
    </row>
    <row r="405" hidden="1" ht="18.75" customHeight="1" s="79">
      <c r="C405" s="20" t="n"/>
      <c r="D405" s="20" t="n"/>
      <c r="E405" s="20" t="n"/>
    </row>
    <row r="406" hidden="1" ht="18" customHeight="1" s="79">
      <c r="C406" s="20" t="n"/>
      <c r="D406" s="20" t="n"/>
      <c r="E406" s="20" t="n"/>
    </row>
    <row r="407" hidden="1" ht="18.75" customHeight="1" s="79">
      <c r="C407" s="20" t="n"/>
      <c r="D407" s="20" t="n"/>
      <c r="E407" s="20" t="n"/>
    </row>
    <row r="408" hidden="1" ht="19.5" customHeight="1" s="79">
      <c r="C408" s="20" t="n"/>
      <c r="D408" s="20" t="n"/>
      <c r="E408" s="20" t="n"/>
    </row>
    <row r="409" hidden="1" ht="18.75" customHeight="1" s="79">
      <c r="C409" s="20" t="n"/>
      <c r="D409" s="20" t="n"/>
      <c r="E409" s="20" t="n"/>
    </row>
    <row r="410" hidden="1" ht="18" customHeight="1" s="79">
      <c r="C410" s="20" t="n"/>
      <c r="D410" s="20" t="n"/>
      <c r="E410" s="20" t="n"/>
    </row>
    <row r="411" hidden="1" ht="18.75" customHeight="1" s="79">
      <c r="C411" s="20" t="n"/>
      <c r="D411" s="20" t="n"/>
      <c r="E411" s="20" t="n"/>
    </row>
    <row r="412" hidden="1" ht="18.75" customHeight="1" s="79">
      <c r="C412" s="20" t="n"/>
      <c r="D412" s="20" t="n"/>
      <c r="E412" s="20" t="n"/>
    </row>
    <row r="413" hidden="1" ht="19.5" customHeight="1" s="79">
      <c r="C413" s="20" t="n"/>
      <c r="D413" s="20" t="n"/>
      <c r="E413" s="20" t="n"/>
    </row>
    <row r="414" hidden="1" ht="19.5" customHeight="1" s="79">
      <c r="C414" s="20" t="n"/>
      <c r="D414" s="20" t="n"/>
      <c r="E414" s="20" t="n"/>
    </row>
    <row r="415" hidden="1" ht="18" customHeight="1" s="79">
      <c r="C415" s="20" t="n"/>
      <c r="D415" s="20" t="n"/>
      <c r="E415" s="20" t="n"/>
    </row>
    <row r="416" hidden="1" ht="20.25" customHeight="1" s="79">
      <c r="C416" s="20" t="n"/>
      <c r="D416" s="20" t="n"/>
      <c r="E416" s="20" t="n"/>
    </row>
    <row r="417" hidden="1" ht="19.5" customHeight="1" s="79">
      <c r="C417" s="20" t="n"/>
      <c r="D417" s="20" t="n"/>
      <c r="E417" s="20" t="n"/>
    </row>
    <row r="418" hidden="1" ht="18.75" customHeight="1" s="79"/>
    <row r="419" hidden="1" ht="19.5" customHeight="1" s="79">
      <c r="C419" s="20" t="n"/>
      <c r="D419" s="20" t="n"/>
      <c r="E419" s="20" t="n"/>
    </row>
    <row r="420" hidden="1" ht="18.75" customHeight="1" s="79"/>
    <row r="421" hidden="1" ht="18" customHeight="1" s="79"/>
    <row r="422" hidden="1" ht="18.75" customHeight="1" s="79"/>
    <row r="423" hidden="1" ht="19.5" customHeight="1" s="79">
      <c r="C423" s="20" t="n"/>
      <c r="D423" s="20" t="n"/>
      <c r="E423" s="20" t="n"/>
    </row>
    <row r="424" hidden="1" ht="18.75" customHeight="1" s="79"/>
    <row r="425" hidden="1" ht="18.75" customHeight="1" s="79">
      <c r="C425" s="20" t="n"/>
      <c r="D425" s="20" t="n"/>
      <c r="E425" s="20" t="n"/>
    </row>
    <row r="426" hidden="1" ht="18" customHeight="1" s="79">
      <c r="C426" s="20" t="n"/>
      <c r="D426" s="20" t="n"/>
      <c r="E426" s="20" t="n"/>
    </row>
    <row r="427" hidden="1" ht="18.75" customHeight="1" s="79"/>
    <row r="428" hidden="1" ht="18.75" customHeight="1" s="79"/>
    <row r="429" hidden="1" ht="17.25" customHeight="1" s="79">
      <c r="C429" s="20" t="n"/>
      <c r="D429" s="20" t="n"/>
      <c r="E429" s="20" t="n"/>
    </row>
    <row r="430" hidden="1" ht="16.5" customHeight="1" s="79"/>
    <row r="431" hidden="1" ht="20.25" customHeight="1" s="79"/>
    <row r="432" hidden="1" ht="18.75" customHeight="1" s="79">
      <c r="C432" s="20" t="n"/>
      <c r="D432" s="20" t="n"/>
      <c r="E432" s="20" t="n"/>
    </row>
    <row r="433" hidden="1" ht="18.75" customHeight="1" s="79">
      <c r="C433" s="20" t="n"/>
      <c r="D433" s="20" t="n"/>
      <c r="E433" s="20" t="n"/>
    </row>
    <row r="434" hidden="1" ht="19.5" customHeight="1" s="79"/>
    <row r="435">
      <c r="C435" s="20" t="n"/>
      <c r="D435" s="20" t="n"/>
      <c r="E435" s="20" t="n"/>
    </row>
    <row r="436">
      <c r="C436" s="20" t="n"/>
      <c r="D436" s="20" t="n"/>
      <c r="E436" s="20" t="n"/>
    </row>
  </sheetData>
  <autoFilter ref="A4:S434">
    <filterColumn colId="0" hiddenButton="0" showButton="1">
      <filters>
        <dateGroupItem year="2026" month="4" day="24" dateTimeGrouping="day"/>
      </filters>
    </filterColumn>
    <sortState ref="A148:S170">
      <sortCondition descending="1" ref="B4:B434"/>
    </sortState>
  </autoFilter>
  <pageMargins left="0.7" right="0.7" top="0.75" bottom="0.75" header="0.3" footer="0.3"/>
  <pageSetup orientation="landscape" paperSize="8" scale="67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アース・アナライザー 株式会社</dc:creator>
  <dcterms:created xmlns:dcterms="http://purl.org/dc/terms/" xmlns:xsi="http://www.w3.org/2001/XMLSchema-instance" xsi:type="dcterms:W3CDTF">2025-06-13T06:07:46Z</dcterms:created>
  <dcterms:modified xmlns:dcterms="http://purl.org/dc/terms/" xmlns:xsi="http://www.w3.org/2001/XMLSchema-instance" xsi:type="dcterms:W3CDTF">2026-04-28T05:05:24Z</dcterms:modified>
  <cp:lastModifiedBy>アナライザー アース・</cp:lastModifiedBy>
  <cp:version>Vol.1.1.0</cp:version>
  <cp:lastPrinted>2026-03-16T08:23:53Z</cp:lastPrinted>
</cp:coreProperties>
</file>